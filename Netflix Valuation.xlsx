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A1617817-36B0-4CCB-94EA-218A31C3DB5B}" xr6:coauthVersionLast="47" xr6:coauthVersionMax="47" xr10:uidLastSave="{00000000-0000-0000-0000-000000000000}"/>
  <bookViews>
    <workbookView xWindow="-108" yWindow="-108" windowWidth="23256" windowHeight="12456" tabRatio="812" firstSheet="4" activeTab="9" xr2:uid="{B7513DCD-E79A-4BFC-AE79-A761E58CF9A8}"/>
  </bookViews>
  <sheets>
    <sheet name="P&amp;L INPUT" sheetId="1" r:id="rId1"/>
    <sheet name="BALANCE SHEET INPUT" sheetId="2" r:id="rId2"/>
    <sheet name="REVENUE BUILD BY REGION" sheetId="4" r:id="rId3"/>
    <sheet name="OPERATING ASSUMPTIONS &amp; WORKING" sheetId="5" r:id="rId4"/>
    <sheet name="SCHEDULES" sheetId="6" r:id="rId5"/>
    <sheet name="FORECASTED P&amp;L " sheetId="7" r:id="rId6"/>
    <sheet name="FORECASTED BALANCE SHEET" sheetId="8" r:id="rId7"/>
    <sheet name="FORECASTED CASH FLOW STATEMENT" sheetId="9" r:id="rId8"/>
    <sheet name="WACC" sheetId="11" r:id="rId9"/>
    <sheet name="DCF" sheetId="13" r:id="rId10"/>
    <sheet name="Sheet3" sheetId="3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9" l="1"/>
  <c r="E10" i="9"/>
  <c r="F10" i="9"/>
  <c r="G10" i="9"/>
  <c r="H10" i="9"/>
  <c r="I10" i="9"/>
  <c r="C10" i="9"/>
  <c r="D8" i="13" l="1"/>
  <c r="E8" i="13" s="1"/>
  <c r="F8" i="13" s="1"/>
  <c r="G8" i="13" s="1"/>
  <c r="C21" i="11"/>
  <c r="C19" i="13" s="1"/>
  <c r="C16" i="11"/>
  <c r="C15" i="11"/>
  <c r="C17" i="11" s="1"/>
  <c r="C12" i="11"/>
  <c r="C22" i="11" l="1"/>
  <c r="C23" i="11" s="1"/>
  <c r="C24" i="11" l="1"/>
  <c r="C25" i="11" s="1"/>
  <c r="D11" i="13" l="1"/>
  <c r="F11" i="13"/>
  <c r="G11" i="13"/>
  <c r="C11" i="13"/>
  <c r="E11" i="13"/>
  <c r="K34" i="6"/>
  <c r="D40" i="2"/>
  <c r="E40" i="2"/>
  <c r="C40" i="2"/>
  <c r="C45" i="8"/>
  <c r="J39" i="8"/>
  <c r="I39" i="8"/>
  <c r="H39" i="8"/>
  <c r="G39" i="8"/>
  <c r="F39" i="8"/>
  <c r="F38" i="8"/>
  <c r="G38" i="8" s="1"/>
  <c r="H38" i="8" s="1"/>
  <c r="I38" i="8" s="1"/>
  <c r="J38" i="8" s="1"/>
  <c r="D40" i="5"/>
  <c r="G40" i="5" s="1"/>
  <c r="G39" i="5" s="1"/>
  <c r="E40" i="5"/>
  <c r="C40" i="5"/>
  <c r="G40" i="8"/>
  <c r="H40" i="8"/>
  <c r="I40" i="8"/>
  <c r="J40" i="8"/>
  <c r="F40" i="8"/>
  <c r="D42" i="8"/>
  <c r="E42" i="8"/>
  <c r="C42" i="8"/>
  <c r="D30" i="8"/>
  <c r="D36" i="8" s="1"/>
  <c r="E30" i="8"/>
  <c r="E36" i="8" s="1"/>
  <c r="C30" i="8"/>
  <c r="C36" i="8" s="1"/>
  <c r="I33" i="8"/>
  <c r="G29" i="8"/>
  <c r="G33" i="8" s="1"/>
  <c r="H29" i="8"/>
  <c r="H33" i="8" s="1"/>
  <c r="I29" i="8"/>
  <c r="J29" i="8"/>
  <c r="J33" i="8" s="1"/>
  <c r="F29" i="8"/>
  <c r="F33" i="8" s="1"/>
  <c r="D35" i="8"/>
  <c r="E35" i="8"/>
  <c r="C35" i="8"/>
  <c r="D32" i="8"/>
  <c r="E32" i="8"/>
  <c r="C32" i="8"/>
  <c r="D25" i="8"/>
  <c r="E25" i="8"/>
  <c r="C25" i="8"/>
  <c r="D19" i="8"/>
  <c r="E19" i="8"/>
  <c r="C19" i="8"/>
  <c r="D13" i="8"/>
  <c r="E13" i="8"/>
  <c r="C13" i="8"/>
  <c r="D15" i="8"/>
  <c r="D20" i="8" s="1"/>
  <c r="E15" i="8"/>
  <c r="E20" i="8" s="1"/>
  <c r="C15" i="8"/>
  <c r="C20" i="8" s="1"/>
  <c r="D8" i="9"/>
  <c r="C26" i="9"/>
  <c r="C25" i="9"/>
  <c r="C23" i="9"/>
  <c r="C22" i="9"/>
  <c r="C21" i="9"/>
  <c r="C19" i="9"/>
  <c r="C18" i="9"/>
  <c r="C17" i="9"/>
  <c r="C16" i="9"/>
  <c r="C20" i="9" s="1"/>
  <c r="C14" i="9"/>
  <c r="C13" i="9"/>
  <c r="D13" i="9"/>
  <c r="D14" i="9"/>
  <c r="D16" i="9"/>
  <c r="D17" i="9"/>
  <c r="D18" i="9"/>
  <c r="D19" i="9"/>
  <c r="D20" i="9"/>
  <c r="D21" i="9"/>
  <c r="D23" i="9" s="1"/>
  <c r="D22" i="9"/>
  <c r="D25" i="9"/>
  <c r="D26" i="9"/>
  <c r="F26" i="9"/>
  <c r="G26" i="9"/>
  <c r="H26" i="9"/>
  <c r="I26" i="9"/>
  <c r="E26" i="9"/>
  <c r="F25" i="9"/>
  <c r="G25" i="9"/>
  <c r="H25" i="9"/>
  <c r="I25" i="9"/>
  <c r="E25" i="9"/>
  <c r="F22" i="9"/>
  <c r="G22" i="9"/>
  <c r="G23" i="9" s="1"/>
  <c r="H22" i="9"/>
  <c r="I22" i="9"/>
  <c r="E22" i="9"/>
  <c r="F21" i="9"/>
  <c r="G21" i="9"/>
  <c r="H21" i="9"/>
  <c r="I21" i="9"/>
  <c r="I23" i="9" s="1"/>
  <c r="E21" i="9"/>
  <c r="F19" i="9"/>
  <c r="G19" i="9"/>
  <c r="H19" i="9"/>
  <c r="I19" i="9"/>
  <c r="E19" i="9"/>
  <c r="F18" i="9"/>
  <c r="G18" i="9"/>
  <c r="H18" i="9"/>
  <c r="I18" i="9"/>
  <c r="E18" i="9"/>
  <c r="F17" i="9"/>
  <c r="G17" i="9"/>
  <c r="H17" i="9"/>
  <c r="I17" i="9"/>
  <c r="E17" i="9"/>
  <c r="F16" i="9"/>
  <c r="G16" i="9"/>
  <c r="H16" i="9"/>
  <c r="I16" i="9"/>
  <c r="E16" i="9"/>
  <c r="F14" i="9"/>
  <c r="G14" i="9"/>
  <c r="H14" i="9"/>
  <c r="I14" i="9"/>
  <c r="F13" i="9"/>
  <c r="G13" i="9"/>
  <c r="H13" i="9"/>
  <c r="I13" i="9"/>
  <c r="E14" i="9"/>
  <c r="E13" i="9"/>
  <c r="H35" i="8" l="1"/>
  <c r="H34" i="8" s="1"/>
  <c r="G32" i="8"/>
  <c r="G31" i="8" s="1"/>
  <c r="J35" i="8"/>
  <c r="J34" i="8" s="1"/>
  <c r="I35" i="8"/>
  <c r="I34" i="8" s="1"/>
  <c r="G35" i="8"/>
  <c r="G34" i="8" s="1"/>
  <c r="F35" i="8"/>
  <c r="F34" i="8" s="1"/>
  <c r="H40" i="5"/>
  <c r="H39" i="5" s="1"/>
  <c r="J40" i="5"/>
  <c r="J39" i="5" s="1"/>
  <c r="F40" i="5"/>
  <c r="F39" i="5" s="1"/>
  <c r="I40" i="5"/>
  <c r="I39" i="5" s="1"/>
  <c r="H19" i="8"/>
  <c r="H18" i="8" s="1"/>
  <c r="H32" i="8"/>
  <c r="F32" i="8"/>
  <c r="F31" i="8" s="1"/>
  <c r="J32" i="8"/>
  <c r="I32" i="8"/>
  <c r="G25" i="8"/>
  <c r="G24" i="8" s="1"/>
  <c r="J25" i="8"/>
  <c r="J24" i="8" s="1"/>
  <c r="I25" i="8"/>
  <c r="I24" i="8" s="1"/>
  <c r="H25" i="8"/>
  <c r="H24" i="8" s="1"/>
  <c r="G19" i="8"/>
  <c r="G18" i="8" s="1"/>
  <c r="F25" i="8"/>
  <c r="F24" i="8" s="1"/>
  <c r="F13" i="8"/>
  <c r="G13" i="8" s="1"/>
  <c r="H13" i="8" s="1"/>
  <c r="I13" i="8" s="1"/>
  <c r="J13" i="8" s="1"/>
  <c r="J12" i="8" s="1"/>
  <c r="F19" i="8"/>
  <c r="F18" i="8" s="1"/>
  <c r="J19" i="8"/>
  <c r="J18" i="8" s="1"/>
  <c r="I19" i="8"/>
  <c r="I18" i="8" s="1"/>
  <c r="H23" i="9"/>
  <c r="F23" i="9"/>
  <c r="I20" i="9"/>
  <c r="G20" i="9"/>
  <c r="H20" i="9"/>
  <c r="F20" i="9"/>
  <c r="E23" i="9"/>
  <c r="E20" i="9"/>
  <c r="F12" i="8" l="1"/>
  <c r="H12" i="8"/>
  <c r="I12" i="8"/>
  <c r="H31" i="8"/>
  <c r="G12" i="8"/>
  <c r="J31" i="8" l="1"/>
  <c r="I31" i="8"/>
  <c r="F8" i="9" l="1"/>
  <c r="G8" i="9" s="1"/>
  <c r="H8" i="9" s="1"/>
  <c r="I8" i="9" s="1"/>
  <c r="G28" i="8"/>
  <c r="H28" i="8"/>
  <c r="I28" i="8"/>
  <c r="J28" i="8"/>
  <c r="F28" i="8"/>
  <c r="G27" i="8"/>
  <c r="H27" i="8"/>
  <c r="I27" i="8"/>
  <c r="J27" i="8"/>
  <c r="F27" i="8"/>
  <c r="G26" i="8"/>
  <c r="H26" i="8"/>
  <c r="I26" i="8"/>
  <c r="J26" i="8"/>
  <c r="F26" i="8"/>
  <c r="G17" i="8"/>
  <c r="H17" i="8"/>
  <c r="I17" i="8"/>
  <c r="J17" i="8"/>
  <c r="F17" i="8"/>
  <c r="G16" i="8"/>
  <c r="H16" i="8"/>
  <c r="I16" i="8"/>
  <c r="J16" i="8"/>
  <c r="F16" i="8"/>
  <c r="G14" i="8"/>
  <c r="H14" i="8"/>
  <c r="I14" i="8"/>
  <c r="J14" i="8"/>
  <c r="F14" i="8"/>
  <c r="F30" i="8" l="1"/>
  <c r="F36" i="8" s="1"/>
  <c r="J30" i="8"/>
  <c r="J36" i="8" s="1"/>
  <c r="I30" i="8"/>
  <c r="I36" i="8" s="1"/>
  <c r="H30" i="8"/>
  <c r="H36" i="8" s="1"/>
  <c r="G30" i="8"/>
  <c r="G36" i="8" s="1"/>
  <c r="D8" i="8"/>
  <c r="E8" i="8" s="1"/>
  <c r="F8" i="8" s="1"/>
  <c r="G8" i="8" s="1"/>
  <c r="H8" i="8" s="1"/>
  <c r="I8" i="8" s="1"/>
  <c r="J8" i="8" s="1"/>
  <c r="E43" i="8" l="1"/>
  <c r="E45" i="8" s="1"/>
  <c r="D43" i="8"/>
  <c r="D45" i="8" s="1"/>
  <c r="C43" i="8"/>
  <c r="F21" i="7" l="1"/>
  <c r="G21" i="7"/>
  <c r="H21" i="7"/>
  <c r="I21" i="7"/>
  <c r="J21" i="7"/>
  <c r="C19" i="7"/>
  <c r="D19" i="7"/>
  <c r="E19" i="7"/>
  <c r="F19" i="7"/>
  <c r="G19" i="7"/>
  <c r="H19" i="7"/>
  <c r="I19" i="7"/>
  <c r="J19" i="7"/>
  <c r="D25" i="7"/>
  <c r="E25" i="7"/>
  <c r="D22" i="7"/>
  <c r="E22" i="7"/>
  <c r="D21" i="7"/>
  <c r="E21" i="7"/>
  <c r="C25" i="7"/>
  <c r="C22" i="7"/>
  <c r="C21" i="7"/>
  <c r="D17" i="7"/>
  <c r="E17" i="7"/>
  <c r="F17" i="7"/>
  <c r="G17" i="7"/>
  <c r="H17" i="7"/>
  <c r="I17" i="7"/>
  <c r="J17" i="7"/>
  <c r="D16" i="7"/>
  <c r="E16" i="7"/>
  <c r="F16" i="7"/>
  <c r="G16" i="7"/>
  <c r="H16" i="7"/>
  <c r="I16" i="7"/>
  <c r="J16" i="7"/>
  <c r="C17" i="7"/>
  <c r="C16" i="7"/>
  <c r="D15" i="7"/>
  <c r="E15" i="7"/>
  <c r="F15" i="7"/>
  <c r="G15" i="7"/>
  <c r="H15" i="7"/>
  <c r="I15" i="7"/>
  <c r="J15" i="7"/>
  <c r="C15" i="7"/>
  <c r="D12" i="7"/>
  <c r="E12" i="7"/>
  <c r="F12" i="7"/>
  <c r="G12" i="7"/>
  <c r="H12" i="7"/>
  <c r="I12" i="7"/>
  <c r="J12" i="7"/>
  <c r="C12" i="7"/>
  <c r="D11" i="7"/>
  <c r="E11" i="7"/>
  <c r="E13" i="7" s="1"/>
  <c r="E18" i="7" s="1"/>
  <c r="D9" i="7"/>
  <c r="E9" i="7"/>
  <c r="F9" i="7"/>
  <c r="F11" i="7" s="1"/>
  <c r="G9" i="7"/>
  <c r="G11" i="7" s="1"/>
  <c r="H9" i="7"/>
  <c r="H11" i="7" s="1"/>
  <c r="I9" i="7"/>
  <c r="I11" i="7" s="1"/>
  <c r="J9" i="7"/>
  <c r="J11" i="7" s="1"/>
  <c r="C9" i="7"/>
  <c r="C11" i="7" s="1"/>
  <c r="D8" i="7"/>
  <c r="E8" i="7" s="1"/>
  <c r="F8" i="7" s="1"/>
  <c r="G8" i="7" s="1"/>
  <c r="H8" i="7" s="1"/>
  <c r="I8" i="7" s="1"/>
  <c r="J8" i="7" s="1"/>
  <c r="J13" i="7" l="1"/>
  <c r="J18" i="7" s="1"/>
  <c r="C13" i="7"/>
  <c r="C18" i="7" s="1"/>
  <c r="C24" i="7" s="1"/>
  <c r="C26" i="7" s="1"/>
  <c r="I13" i="7"/>
  <c r="I18" i="7" s="1"/>
  <c r="I20" i="7" s="1"/>
  <c r="H9" i="9" s="1"/>
  <c r="G13" i="7"/>
  <c r="G18" i="7" s="1"/>
  <c r="G20" i="7" s="1"/>
  <c r="F9" i="9" s="1"/>
  <c r="F13" i="7"/>
  <c r="F18" i="7" s="1"/>
  <c r="F20" i="7" s="1"/>
  <c r="E9" i="9" s="1"/>
  <c r="E23" i="7"/>
  <c r="D23" i="7"/>
  <c r="H13" i="7"/>
  <c r="H18" i="7" s="1"/>
  <c r="C23" i="7"/>
  <c r="D13" i="7"/>
  <c r="D18" i="7" s="1"/>
  <c r="D24" i="7" s="1"/>
  <c r="D26" i="7" s="1"/>
  <c r="C11" i="9" s="1"/>
  <c r="E24" i="7"/>
  <c r="E26" i="7" s="1"/>
  <c r="E20" i="7"/>
  <c r="D9" i="9" s="1"/>
  <c r="J20" i="7"/>
  <c r="I9" i="9" s="1"/>
  <c r="F26" i="7" l="1"/>
  <c r="D11" i="9"/>
  <c r="D27" i="9" s="1"/>
  <c r="C20" i="7"/>
  <c r="H20" i="7"/>
  <c r="G9" i="9" s="1"/>
  <c r="G23" i="7"/>
  <c r="G22" i="7" s="1"/>
  <c r="G24" i="7" s="1"/>
  <c r="H23" i="7"/>
  <c r="H22" i="7" s="1"/>
  <c r="H24" i="7" s="1"/>
  <c r="I23" i="7"/>
  <c r="I22" i="7" s="1"/>
  <c r="I24" i="7" s="1"/>
  <c r="J23" i="7"/>
  <c r="J22" i="7" s="1"/>
  <c r="F23" i="7"/>
  <c r="F22" i="7" s="1"/>
  <c r="J24" i="7"/>
  <c r="D20" i="7"/>
  <c r="C27" i="7"/>
  <c r="E27" i="7"/>
  <c r="G36" i="6"/>
  <c r="H36" i="6"/>
  <c r="I36" i="6"/>
  <c r="J36" i="6"/>
  <c r="F36" i="6"/>
  <c r="H37" i="6"/>
  <c r="I37" i="6"/>
  <c r="J37" i="6" s="1"/>
  <c r="G37" i="6"/>
  <c r="F37" i="6"/>
  <c r="D37" i="6"/>
  <c r="E37" i="6"/>
  <c r="C37" i="6"/>
  <c r="D36" i="6"/>
  <c r="E36" i="6"/>
  <c r="C36" i="6"/>
  <c r="G34" i="6"/>
  <c r="H34" i="6"/>
  <c r="I34" i="6"/>
  <c r="J34" i="6"/>
  <c r="F34" i="6"/>
  <c r="E33" i="6"/>
  <c r="D33" i="6"/>
  <c r="C33" i="6"/>
  <c r="D34" i="6"/>
  <c r="E30" i="6" s="1"/>
  <c r="E34" i="6"/>
  <c r="F30" i="6" s="1"/>
  <c r="C34" i="6"/>
  <c r="D30" i="6" s="1"/>
  <c r="G30" i="6"/>
  <c r="H30" i="6"/>
  <c r="I30" i="6"/>
  <c r="J30" i="6"/>
  <c r="C27" i="6"/>
  <c r="C18" i="6"/>
  <c r="D23" i="6"/>
  <c r="E23" i="6"/>
  <c r="F23" i="6" s="1"/>
  <c r="G23" i="6" s="1"/>
  <c r="H23" i="6" s="1"/>
  <c r="I23" i="6" s="1"/>
  <c r="J23" i="6" s="1"/>
  <c r="C23" i="6"/>
  <c r="D25" i="6"/>
  <c r="E21" i="6" s="1"/>
  <c r="E27" i="6" s="1"/>
  <c r="E25" i="6"/>
  <c r="F21" i="6" s="1"/>
  <c r="C25" i="6"/>
  <c r="D21" i="6" s="1"/>
  <c r="D27" i="6" s="1"/>
  <c r="D13" i="6"/>
  <c r="E13" i="6"/>
  <c r="F13" i="6" s="1"/>
  <c r="G13" i="6" s="1"/>
  <c r="H13" i="6" s="1"/>
  <c r="I13" i="6" s="1"/>
  <c r="J13" i="6" s="1"/>
  <c r="C13" i="6"/>
  <c r="D27" i="7" l="1"/>
  <c r="C9" i="9"/>
  <c r="G26" i="7"/>
  <c r="E11" i="9"/>
  <c r="D12" i="9"/>
  <c r="D15" i="9" s="1"/>
  <c r="D24" i="9" s="1"/>
  <c r="D28" i="9" s="1"/>
  <c r="G25" i="7"/>
  <c r="H27" i="6"/>
  <c r="I27" i="6"/>
  <c r="J27" i="6"/>
  <c r="F27" i="6"/>
  <c r="G27" i="6"/>
  <c r="G22" i="6"/>
  <c r="F22" i="6"/>
  <c r="G12" i="6"/>
  <c r="J12" i="6"/>
  <c r="I12" i="6"/>
  <c r="H12" i="6"/>
  <c r="F12" i="6"/>
  <c r="D16" i="6"/>
  <c r="E11" i="6" s="1"/>
  <c r="E18" i="6" s="1"/>
  <c r="E16" i="6"/>
  <c r="F11" i="6" s="1"/>
  <c r="C16" i="6"/>
  <c r="C15" i="6" s="1"/>
  <c r="D8" i="6"/>
  <c r="E8" i="6" s="1"/>
  <c r="F8" i="6" s="1"/>
  <c r="G8" i="6" s="1"/>
  <c r="H8" i="6" s="1"/>
  <c r="I8" i="6" s="1"/>
  <c r="J8" i="6" s="1"/>
  <c r="G27" i="7" l="1"/>
  <c r="E12" i="9"/>
  <c r="E15" i="9" s="1"/>
  <c r="E24" i="9" s="1"/>
  <c r="C9" i="13" s="1"/>
  <c r="C12" i="13" s="1"/>
  <c r="H26" i="7"/>
  <c r="F11" i="9"/>
  <c r="F12" i="9" s="1"/>
  <c r="F15" i="9" s="1"/>
  <c r="F24" i="9" s="1"/>
  <c r="D9" i="13" s="1"/>
  <c r="D12" i="13" s="1"/>
  <c r="C27" i="9"/>
  <c r="F24" i="6"/>
  <c r="F25" i="6" s="1"/>
  <c r="G21" i="6" s="1"/>
  <c r="G24" i="6" s="1"/>
  <c r="H22" i="6"/>
  <c r="D11" i="6"/>
  <c r="E15" i="6"/>
  <c r="G31" i="5"/>
  <c r="H31" i="5"/>
  <c r="I31" i="5"/>
  <c r="J31" i="5"/>
  <c r="F31" i="5"/>
  <c r="G35" i="5"/>
  <c r="H35" i="5"/>
  <c r="I35" i="5"/>
  <c r="J35" i="5"/>
  <c r="G33" i="5"/>
  <c r="H33" i="5"/>
  <c r="I33" i="5"/>
  <c r="J33" i="5"/>
  <c r="F35" i="5"/>
  <c r="F33" i="5"/>
  <c r="G27" i="5"/>
  <c r="H27" i="5"/>
  <c r="I27" i="5"/>
  <c r="J27" i="5"/>
  <c r="F27" i="5"/>
  <c r="G23" i="5"/>
  <c r="H23" i="5"/>
  <c r="I23" i="5"/>
  <c r="J23" i="5"/>
  <c r="F23" i="5"/>
  <c r="G19" i="5"/>
  <c r="H19" i="5"/>
  <c r="I19" i="5"/>
  <c r="J19" i="5"/>
  <c r="F19" i="5"/>
  <c r="G15" i="5"/>
  <c r="H15" i="5"/>
  <c r="I15" i="5"/>
  <c r="J15" i="5"/>
  <c r="F15" i="5"/>
  <c r="F11" i="5"/>
  <c r="G11" i="5"/>
  <c r="H11" i="5"/>
  <c r="I11" i="5"/>
  <c r="J11" i="5"/>
  <c r="G36" i="5"/>
  <c r="H36" i="5"/>
  <c r="J36" i="5" s="1"/>
  <c r="I36" i="5"/>
  <c r="F36" i="5"/>
  <c r="G34" i="5"/>
  <c r="H34" i="5" s="1"/>
  <c r="I34" i="5" s="1"/>
  <c r="J34" i="5" s="1"/>
  <c r="F34" i="5"/>
  <c r="G32" i="5"/>
  <c r="J32" i="5" s="1"/>
  <c r="H32" i="5"/>
  <c r="I32" i="5"/>
  <c r="F32" i="5"/>
  <c r="G28" i="5"/>
  <c r="H28" i="5"/>
  <c r="I28" i="5"/>
  <c r="J28" i="5"/>
  <c r="F28" i="5"/>
  <c r="H24" i="5"/>
  <c r="I24" i="5"/>
  <c r="J24" i="5" s="1"/>
  <c r="G24" i="5"/>
  <c r="F24" i="5"/>
  <c r="G20" i="5"/>
  <c r="H20" i="5" s="1"/>
  <c r="I20" i="5" s="1"/>
  <c r="J20" i="5" s="1"/>
  <c r="F20" i="5"/>
  <c r="H16" i="5"/>
  <c r="I16" i="5"/>
  <c r="J16" i="5"/>
  <c r="G16" i="5"/>
  <c r="F16" i="5"/>
  <c r="H12" i="5"/>
  <c r="I12" i="5"/>
  <c r="J12" i="5"/>
  <c r="G12" i="5"/>
  <c r="F12" i="5"/>
  <c r="F16" i="4"/>
  <c r="D32" i="5"/>
  <c r="E32" i="5"/>
  <c r="C32" i="5"/>
  <c r="D36" i="5"/>
  <c r="E36" i="5"/>
  <c r="D34" i="5"/>
  <c r="E34" i="5"/>
  <c r="C36" i="5"/>
  <c r="C34" i="5"/>
  <c r="D28" i="5"/>
  <c r="E28" i="5"/>
  <c r="C28" i="5"/>
  <c r="D24" i="5"/>
  <c r="E24" i="5"/>
  <c r="C24" i="5"/>
  <c r="D20" i="5"/>
  <c r="E20" i="5"/>
  <c r="C20" i="5"/>
  <c r="D16" i="5"/>
  <c r="E16" i="5"/>
  <c r="C16" i="5"/>
  <c r="D12" i="5"/>
  <c r="E12" i="5"/>
  <c r="C12" i="5"/>
  <c r="D35" i="5"/>
  <c r="E35" i="5"/>
  <c r="D33" i="5"/>
  <c r="E33" i="5"/>
  <c r="D31" i="5"/>
  <c r="E31" i="5"/>
  <c r="D27" i="5"/>
  <c r="E27" i="5"/>
  <c r="C35" i="5"/>
  <c r="C33" i="5"/>
  <c r="C31" i="5"/>
  <c r="C27" i="5"/>
  <c r="C27" i="2"/>
  <c r="C37" i="2"/>
  <c r="C31" i="2"/>
  <c r="C14" i="2"/>
  <c r="C18" i="2" s="1"/>
  <c r="D8" i="2"/>
  <c r="D23" i="5"/>
  <c r="E23" i="5"/>
  <c r="D19" i="5"/>
  <c r="E19" i="5"/>
  <c r="D15" i="5"/>
  <c r="E15" i="5"/>
  <c r="C23" i="5"/>
  <c r="C19" i="5"/>
  <c r="C15" i="5"/>
  <c r="D11" i="5"/>
  <c r="E11" i="5"/>
  <c r="C11" i="5"/>
  <c r="D8" i="5"/>
  <c r="E8" i="5" s="1"/>
  <c r="F8" i="5" s="1"/>
  <c r="G8" i="5" s="1"/>
  <c r="H8" i="5" s="1"/>
  <c r="I8" i="5" s="1"/>
  <c r="J8" i="5" s="1"/>
  <c r="E24" i="4"/>
  <c r="D24" i="4"/>
  <c r="F24" i="4" s="1"/>
  <c r="G24" i="4" s="1"/>
  <c r="H24" i="4" s="1"/>
  <c r="I24" i="4" s="1"/>
  <c r="J24" i="4" s="1"/>
  <c r="E20" i="4"/>
  <c r="F20" i="4" s="1"/>
  <c r="D20" i="4"/>
  <c r="E16" i="4"/>
  <c r="D16" i="4"/>
  <c r="E12" i="4"/>
  <c r="F12" i="4" s="1"/>
  <c r="G12" i="4" s="1"/>
  <c r="H12" i="4" s="1"/>
  <c r="I12" i="4" s="1"/>
  <c r="J12" i="4" s="1"/>
  <c r="D12" i="4"/>
  <c r="D27" i="4"/>
  <c r="D32" i="4" s="1"/>
  <c r="E27" i="4"/>
  <c r="E28" i="4" s="1"/>
  <c r="C27" i="4"/>
  <c r="C34" i="4" s="1"/>
  <c r="C12" i="9" l="1"/>
  <c r="C15" i="9" s="1"/>
  <c r="C24" i="9" s="1"/>
  <c r="C28" i="9" s="1"/>
  <c r="I26" i="7"/>
  <c r="G11" i="9"/>
  <c r="H25" i="7"/>
  <c r="H27" i="7" s="1"/>
  <c r="F27" i="9"/>
  <c r="F28" i="9" s="1"/>
  <c r="D15" i="6"/>
  <c r="D18" i="6"/>
  <c r="F18" i="6" s="1"/>
  <c r="F14" i="6" s="1"/>
  <c r="I22" i="6"/>
  <c r="J22" i="6"/>
  <c r="F15" i="4"/>
  <c r="C38" i="2"/>
  <c r="G20" i="4"/>
  <c r="H20" i="4" s="1"/>
  <c r="I20" i="4" s="1"/>
  <c r="J20" i="4" s="1"/>
  <c r="F19" i="4"/>
  <c r="C31" i="4"/>
  <c r="C32" i="4"/>
  <c r="D28" i="4"/>
  <c r="C33" i="4"/>
  <c r="E33" i="4"/>
  <c r="D33" i="4"/>
  <c r="E31" i="4"/>
  <c r="D31" i="4"/>
  <c r="E34" i="4"/>
  <c r="D34" i="4"/>
  <c r="E32" i="4"/>
  <c r="F11" i="4"/>
  <c r="F23" i="4"/>
  <c r="G16" i="4"/>
  <c r="H16" i="4" s="1"/>
  <c r="I16" i="4" s="1"/>
  <c r="J16" i="4" s="1"/>
  <c r="G27" i="9" l="1"/>
  <c r="G12" i="9"/>
  <c r="G15" i="9" s="1"/>
  <c r="G24" i="9" s="1"/>
  <c r="J26" i="7"/>
  <c r="H11" i="9"/>
  <c r="I25" i="7"/>
  <c r="I27" i="7" s="1"/>
  <c r="G18" i="6"/>
  <c r="H18" i="6" s="1"/>
  <c r="I18" i="6" s="1"/>
  <c r="J18" i="6" s="1"/>
  <c r="G25" i="6"/>
  <c r="H21" i="6" s="1"/>
  <c r="H24" i="6" s="1"/>
  <c r="G19" i="4"/>
  <c r="H19" i="4" s="1"/>
  <c r="G11" i="4"/>
  <c r="F27" i="4"/>
  <c r="G15" i="4"/>
  <c r="G23" i="4"/>
  <c r="G28" i="9" l="1"/>
  <c r="E9" i="13"/>
  <c r="E12" i="13" s="1"/>
  <c r="H27" i="9"/>
  <c r="H12" i="9"/>
  <c r="H15" i="9" s="1"/>
  <c r="H24" i="9" s="1"/>
  <c r="I11" i="9"/>
  <c r="J25" i="7"/>
  <c r="J27" i="7" s="1"/>
  <c r="F16" i="6"/>
  <c r="G11" i="6" s="1"/>
  <c r="G14" i="6" s="1"/>
  <c r="H23" i="4"/>
  <c r="F28" i="4"/>
  <c r="F33" i="4"/>
  <c r="F32" i="4"/>
  <c r="F31" i="4"/>
  <c r="H11" i="4"/>
  <c r="F34" i="4"/>
  <c r="I19" i="4"/>
  <c r="H15" i="4"/>
  <c r="G27" i="4"/>
  <c r="G31" i="4" s="1"/>
  <c r="H28" i="9" l="1"/>
  <c r="F9" i="13"/>
  <c r="F12" i="13" s="1"/>
  <c r="I27" i="9"/>
  <c r="I12" i="9"/>
  <c r="I15" i="9" s="1"/>
  <c r="I24" i="9" s="1"/>
  <c r="H25" i="6"/>
  <c r="I21" i="6" s="1"/>
  <c r="I24" i="6" s="1"/>
  <c r="G16" i="6"/>
  <c r="H11" i="6" s="1"/>
  <c r="G32" i="4"/>
  <c r="J19" i="4"/>
  <c r="I11" i="4"/>
  <c r="G28" i="4"/>
  <c r="G33" i="4"/>
  <c r="G34" i="4"/>
  <c r="I23" i="4"/>
  <c r="I15" i="4"/>
  <c r="H27" i="4"/>
  <c r="I28" i="9" l="1"/>
  <c r="G9" i="13"/>
  <c r="G12" i="13" s="1"/>
  <c r="C16" i="13" s="1"/>
  <c r="C14" i="13"/>
  <c r="C15" i="13" s="1"/>
  <c r="I25" i="6"/>
  <c r="J21" i="6" s="1"/>
  <c r="J24" i="6" s="1"/>
  <c r="H14" i="6"/>
  <c r="H16" i="6" s="1"/>
  <c r="I11" i="6" s="1"/>
  <c r="H28" i="4"/>
  <c r="H33" i="4"/>
  <c r="H34" i="4"/>
  <c r="J23" i="4"/>
  <c r="H32" i="4"/>
  <c r="H31" i="4"/>
  <c r="J11" i="4"/>
  <c r="J15" i="4"/>
  <c r="I27" i="4"/>
  <c r="I32" i="4" s="1"/>
  <c r="D27" i="1"/>
  <c r="E27" i="1"/>
  <c r="D26" i="1"/>
  <c r="E26" i="1"/>
  <c r="D25" i="1"/>
  <c r="E25" i="1"/>
  <c r="D24" i="1"/>
  <c r="E24" i="1"/>
  <c r="C24" i="1"/>
  <c r="E23" i="1"/>
  <c r="D23" i="1"/>
  <c r="C17" i="13" l="1"/>
  <c r="J25" i="6"/>
  <c r="I14" i="6"/>
  <c r="I16" i="6"/>
  <c r="J11" i="6" s="1"/>
  <c r="I31" i="4"/>
  <c r="I34" i="4"/>
  <c r="J27" i="4"/>
  <c r="J33" i="4" s="1"/>
  <c r="J32" i="4"/>
  <c r="J31" i="4"/>
  <c r="J34" i="4"/>
  <c r="I28" i="4"/>
  <c r="I33" i="4"/>
  <c r="J28" i="4"/>
  <c r="D8" i="4"/>
  <c r="E8" i="4" s="1"/>
  <c r="F8" i="4" s="1"/>
  <c r="G8" i="4" s="1"/>
  <c r="H8" i="4" s="1"/>
  <c r="I8" i="4" s="1"/>
  <c r="J8" i="4" s="1"/>
  <c r="J14" i="6" l="1"/>
  <c r="J16" i="6"/>
  <c r="E37" i="2"/>
  <c r="D37" i="2"/>
  <c r="E27" i="2"/>
  <c r="E31" i="2" s="1"/>
  <c r="E38" i="2" s="1"/>
  <c r="D27" i="2"/>
  <c r="D31" i="2" s="1"/>
  <c r="D38" i="2" s="1"/>
  <c r="E18" i="2"/>
  <c r="E14" i="2"/>
  <c r="D14" i="2"/>
  <c r="D18" i="2" s="1"/>
  <c r="E8" i="2"/>
  <c r="D14" i="1"/>
  <c r="D18" i="1" s="1"/>
  <c r="D20" i="1" s="1"/>
  <c r="E14" i="1"/>
  <c r="E18" i="1" s="1"/>
  <c r="E20" i="1" s="1"/>
  <c r="C14" i="1"/>
  <c r="D8" i="1"/>
  <c r="E8" i="1" s="1"/>
  <c r="C18" i="1" l="1"/>
  <c r="C25" i="1"/>
  <c r="C20" i="1" l="1"/>
  <c r="C26" i="1" s="1"/>
  <c r="C27" i="1"/>
  <c r="F24" i="7" l="1"/>
  <c r="F25" i="7" s="1"/>
  <c r="F27" i="7" l="1"/>
  <c r="E27" i="9"/>
  <c r="E28" i="9" s="1"/>
  <c r="F11" i="8" l="1"/>
  <c r="C18" i="13" s="1"/>
  <c r="C20" i="13" s="1"/>
  <c r="C22" i="13" s="1"/>
  <c r="B29" i="11" s="1"/>
  <c r="F41" i="8"/>
  <c r="G41" i="8" s="1"/>
  <c r="F42" i="8"/>
  <c r="H41" i="8" l="1"/>
  <c r="G42" i="8"/>
  <c r="G43" i="8" s="1"/>
  <c r="G11" i="8"/>
  <c r="F15" i="8"/>
  <c r="F20" i="8" s="1"/>
  <c r="F43" i="8"/>
  <c r="F45" i="8" s="1"/>
  <c r="H11" i="8" l="1"/>
  <c r="G15" i="8"/>
  <c r="G20" i="8" s="1"/>
  <c r="G45" i="8"/>
  <c r="I41" i="8"/>
  <c r="H42" i="8"/>
  <c r="H43" i="8" s="1"/>
  <c r="J41" i="8" l="1"/>
  <c r="J42" i="8" s="1"/>
  <c r="J43" i="8" s="1"/>
  <c r="I42" i="8"/>
  <c r="I43" i="8" s="1"/>
  <c r="I11" i="8"/>
  <c r="H15" i="8"/>
  <c r="H20" i="8" s="1"/>
  <c r="H45" i="8" s="1"/>
  <c r="I15" i="8" l="1"/>
  <c r="I20" i="8" s="1"/>
  <c r="J11" i="8"/>
  <c r="J15" i="8" s="1"/>
  <c r="J20" i="8" s="1"/>
  <c r="I45" i="8"/>
  <c r="J45" i="8"/>
</calcChain>
</file>

<file path=xl/sharedStrings.xml><?xml version="1.0" encoding="utf-8"?>
<sst xmlns="http://schemas.openxmlformats.org/spreadsheetml/2006/main" count="245" uniqueCount="162">
  <si>
    <t xml:space="preserve"> Revenues</t>
  </si>
  <si>
    <t>Sales and marketing</t>
  </si>
  <si>
    <t>Technology and development</t>
  </si>
  <si>
    <t>General and administrative</t>
  </si>
  <si>
    <t>Operating income</t>
  </si>
  <si>
    <t>Other income (expense):</t>
  </si>
  <si>
    <t>Interest expense</t>
  </si>
  <si>
    <t>Provision for income taxes</t>
  </si>
  <si>
    <t>Net income</t>
  </si>
  <si>
    <t>Cost of revenues</t>
  </si>
  <si>
    <t>Interest and other income (expense)</t>
  </si>
  <si>
    <t>Income before income taxes</t>
  </si>
  <si>
    <t>Assets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</si>
  <si>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</si>
  <si>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</si>
  <si>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</si>
  <si>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</si>
  <si>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</si>
  <si>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</si>
  <si>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</si>
  <si>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</si>
  <si>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</si>
  <si>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Liabilities and Stockholders’ Equity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</si>
  <si>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</si>
  <si>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</si>
  <si>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</si>
  <si>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</si>
  <si>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</si>
  <si>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</si>
  <si>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</si>
  <si>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</si>
  <si>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</si>
  <si>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</si>
  <si>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</si>
  <si>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Stockholders’ equity:</t>
  </si>
  <si>
    <t>Common stock</t>
  </si>
  <si>
    <t>Treasury stock</t>
  </si>
  <si>
    <t>Retained earnings</t>
  </si>
  <si>
    <t>Total stockholders’ equity</t>
  </si>
  <si>
    <t>Total liabilities and stockholders’ equity</t>
  </si>
  <si>
    <t>($ in thousands)</t>
  </si>
  <si>
    <t>Check</t>
  </si>
  <si>
    <t>P&amp;L STATEMENT</t>
  </si>
  <si>
    <t>BALANCE SHEET</t>
  </si>
  <si>
    <t>REVENUE BUILD BY REGION</t>
  </si>
  <si>
    <t>United States and Canada (UCAN)</t>
  </si>
  <si>
    <t>Streaming Revenues</t>
  </si>
  <si>
    <t>Year-over-Year Growth %</t>
  </si>
  <si>
    <t>Europe, Middle East and Africa (EMEA)</t>
  </si>
  <si>
    <t>Latin America (LATAM)</t>
  </si>
  <si>
    <t>Asia-Pacific (APAC)</t>
  </si>
  <si>
    <t>Total Streaming Revenues</t>
  </si>
  <si>
    <t>Total Revenues</t>
  </si>
  <si>
    <t>Revenue Growth %</t>
  </si>
  <si>
    <t>Revenue Mix By Region (%)</t>
  </si>
  <si>
    <t>UCAN</t>
  </si>
  <si>
    <t>EMEA</t>
  </si>
  <si>
    <t>LATAM</t>
  </si>
  <si>
    <t>APAC</t>
  </si>
  <si>
    <t>Key Margins</t>
  </si>
  <si>
    <t>Gross Margin %</t>
  </si>
  <si>
    <t>Operating Margin %</t>
  </si>
  <si>
    <t>Net Margin %</t>
  </si>
  <si>
    <t xml:space="preserve">Effective Tax Rate </t>
  </si>
  <si>
    <t>Accumulated other comprehensive income</t>
  </si>
  <si>
    <t>-</t>
  </si>
  <si>
    <t>OPERATING ASSUMPTIONS &amp; WORKING CAPITAL</t>
  </si>
  <si>
    <t>Cost of Revenues</t>
  </si>
  <si>
    <t>% of Revenues</t>
  </si>
  <si>
    <t>Sales &amp; Marketing</t>
  </si>
  <si>
    <t>Technology &amp; Development</t>
  </si>
  <si>
    <t>T&amp;D Expense</t>
  </si>
  <si>
    <t>General &amp; Administrative</t>
  </si>
  <si>
    <t>G&amp;A Expense</t>
  </si>
  <si>
    <t>Working Capital - Current Assets</t>
  </si>
  <si>
    <t>Other Current Assets</t>
  </si>
  <si>
    <t>Working Capital - Current Liabilities</t>
  </si>
  <si>
    <t>Accounts Payable</t>
  </si>
  <si>
    <t>Days Payable Outstanding</t>
  </si>
  <si>
    <t>Deferred Revenue</t>
  </si>
  <si>
    <t>PP&amp;E Schedules</t>
  </si>
  <si>
    <t>SCHEDULES</t>
  </si>
  <si>
    <t>Opening PP&amp;E</t>
  </si>
  <si>
    <t>Add: Capital Expenditures</t>
  </si>
  <si>
    <t>Less: Depreciation</t>
  </si>
  <si>
    <t>Closing PP&amp;E</t>
  </si>
  <si>
    <t>Add/Less: Other/FX Adjustments</t>
  </si>
  <si>
    <t>Capex % of Revenues</t>
  </si>
  <si>
    <t>Content Assets Schedules</t>
  </si>
  <si>
    <t>Opening Content Assets</t>
  </si>
  <si>
    <t>Add: Content Additions</t>
  </si>
  <si>
    <t>Less: Content Amortization</t>
  </si>
  <si>
    <t>Closing Content Assets</t>
  </si>
  <si>
    <t>Useful Life (Yrs)</t>
  </si>
  <si>
    <t>Content Additions % of Revenues</t>
  </si>
  <si>
    <t>Debt Schedules</t>
  </si>
  <si>
    <t>Opening Total Debt</t>
  </si>
  <si>
    <t>Total Debt</t>
  </si>
  <si>
    <t>Interest Expense</t>
  </si>
  <si>
    <t>Effective Interest Rate</t>
  </si>
  <si>
    <t>Less: Repayments</t>
  </si>
  <si>
    <t>Add: New Borrowings</t>
  </si>
  <si>
    <t>Non-Cash Adjustments</t>
  </si>
  <si>
    <t>DVD Revenues</t>
  </si>
  <si>
    <t>Gross Margin</t>
  </si>
  <si>
    <t>Operating Expenses</t>
  </si>
  <si>
    <t>EBITDA</t>
  </si>
  <si>
    <t>Interest and Other Income (Expense)</t>
  </si>
  <si>
    <t>Provision for Income Taxes</t>
  </si>
  <si>
    <t>Net Income</t>
  </si>
  <si>
    <t>Effective Tax Rate %</t>
  </si>
  <si>
    <t>FORECASTED P&amp;L STATEMENT</t>
  </si>
  <si>
    <t>EBIT (Operating Income)</t>
  </si>
  <si>
    <t>EBT (Income Before Income Taxes)</t>
  </si>
  <si>
    <t>FORECASTED BALANCE SHEET</t>
  </si>
  <si>
    <t>FORECASTED CASH FLOW STATEMENT</t>
  </si>
  <si>
    <t>EBIT</t>
  </si>
  <si>
    <t>Operating Taxes</t>
  </si>
  <si>
    <t>Tax Rate</t>
  </si>
  <si>
    <t>NOPAT</t>
  </si>
  <si>
    <t>Amortization</t>
  </si>
  <si>
    <t>Depreciation</t>
  </si>
  <si>
    <t>Gross Cash Flow</t>
  </si>
  <si>
    <t>Accrued Expenses &amp; Other Liabilities</t>
  </si>
  <si>
    <t>Investments in Working Capital</t>
  </si>
  <si>
    <t xml:space="preserve">Content Assets </t>
  </si>
  <si>
    <t>PP&amp;E</t>
  </si>
  <si>
    <t>Capex</t>
  </si>
  <si>
    <t>UFCF</t>
  </si>
  <si>
    <t>Debt Taken/(Repaid)</t>
  </si>
  <si>
    <t>Diff b/w Operating &amp; Actual Taxes</t>
  </si>
  <si>
    <t>Net Cash Flow</t>
  </si>
  <si>
    <t>% of Content Spend</t>
  </si>
  <si>
    <t>Stock-based Compensation Expense</t>
  </si>
  <si>
    <t>SBC Expense</t>
  </si>
  <si>
    <t>WACC CALCULATION</t>
  </si>
  <si>
    <t>Cost of Equity</t>
  </si>
  <si>
    <t>Risk Free Rate</t>
  </si>
  <si>
    <t>Equity Risk Premium</t>
  </si>
  <si>
    <t>Beta</t>
  </si>
  <si>
    <t>Pre-Tax Cost of Debt</t>
  </si>
  <si>
    <t>Cost of Debt</t>
  </si>
  <si>
    <t>WACC</t>
  </si>
  <si>
    <t>Market Value of Equity ($K)</t>
  </si>
  <si>
    <t>Total Debt ($K)</t>
  </si>
  <si>
    <t>Total Capital ($K)</t>
  </si>
  <si>
    <t>Equity Weight</t>
  </si>
  <si>
    <t>Debt Weight</t>
  </si>
  <si>
    <t>DCF VALUATION</t>
  </si>
  <si>
    <t>PV of UFCF</t>
  </si>
  <si>
    <t>Projection Period (Years)</t>
  </si>
  <si>
    <t>Discount Factor</t>
  </si>
  <si>
    <t>Termina Growth Rate (g)</t>
  </si>
  <si>
    <t>Terminal Value</t>
  </si>
  <si>
    <t>PV of Terminal Value</t>
  </si>
  <si>
    <t>Sum of PV of UFCF</t>
  </si>
  <si>
    <t>Enterprise Value</t>
  </si>
  <si>
    <t>Cash &amp; Cash Equivalents</t>
  </si>
  <si>
    <t>Equity Value</t>
  </si>
  <si>
    <t>Shares Outstanding</t>
  </si>
  <si>
    <t>Intrinsic Value per Share</t>
  </si>
  <si>
    <t>Sensitivity Analysis - Intrinsic Value per Share vs WACC \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</si>
</sst>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#,###,###;\(##,###,###\);\-"/>
    <numFmt numFmtId="165" formatCode="0\ \A"/>
    <numFmt numFmtId="166" formatCode="#,##0.0;\(#,##0.0\);\-"/>
    <numFmt numFmtId="167" formatCode="##,###,###.0;\(##,###,###.0\);\-"/>
    <numFmt numFmtId="168" formatCode="0\ \E"/>
    <numFmt numFmtId="169" formatCode="0.0"/>
    <numFmt numFmtId="170" formatCode="#,##0.00000000"/>
    <numFmt numFmtId="171" formatCode="#,##0.0"/>
    <numFmt numFmtId="172" formatCode="0.0%"/>
    <numFmt numFmtId="173" formatCode="#,##0.000000"/>
    <numFmt numFmtId="174" formatCode="0.0000"/>
    <numFmt numFmtId="175" formatCode="#,##0;\(#,##0\);\-"/>
    <numFmt numFmtId="176" formatCode="&quot;₹&quot;\ #,##0.00"/>
    <numFmt numFmtId="177" formatCode="[$$-409]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0"/>
      <color rgb="FF0000FF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FF"/>
      <name val="Calibri"/>
      <family val="2"/>
      <scheme val="minor"/>
    </font>
    <font>
      <b/>
      <sz val="10"/>
      <color rgb="FF0000FF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4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0" fillId="0" borderId="0" xfId="0" applyNumberFormat="1" applyAlignment="1">
      <alignment horizontal="left" indent="3"/>
    </xf>
    <xf numFmtId="164" fontId="3" fillId="2" borderId="0" xfId="0" applyNumberFormat="1" applyFont="1" applyFill="1" applyAlignment="1">
      <alignment horizontal="centerContinuous" vertical="center"/>
    </xf>
    <xf numFmtId="164" fontId="3" fillId="2" borderId="0" xfId="0" applyNumberFormat="1" applyFont="1" applyFill="1" applyAlignment="1">
      <alignment horizontal="centerContinuous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Alignment="1">
      <alignment horizontal="right" vertical="center"/>
    </xf>
    <xf numFmtId="167" fontId="0" fillId="0" borderId="2" xfId="0" applyNumberFormat="1" applyBorder="1"/>
    <xf numFmtId="167" fontId="1" fillId="0" borderId="4" xfId="0" applyNumberFormat="1" applyFont="1" applyBorder="1"/>
    <xf numFmtId="164" fontId="1" fillId="4" borderId="0" xfId="0" applyNumberFormat="1" applyFont="1" applyFill="1"/>
    <xf numFmtId="164" fontId="0" fillId="5" borderId="0" xfId="0" applyNumberFormat="1" applyFill="1"/>
    <xf numFmtId="164" fontId="1" fillId="5" borderId="0" xfId="0" applyNumberFormat="1" applyFont="1" applyFill="1"/>
    <xf numFmtId="167" fontId="0" fillId="0" borderId="0" xfId="0" applyNumberFormat="1"/>
    <xf numFmtId="164" fontId="1" fillId="6" borderId="0" xfId="0" applyNumberFormat="1" applyFont="1" applyFill="1"/>
    <xf numFmtId="164" fontId="1" fillId="7" borderId="0" xfId="0" applyNumberFormat="1" applyFont="1" applyFill="1"/>
    <xf numFmtId="164" fontId="0" fillId="7" borderId="0" xfId="0" applyNumberFormat="1" applyFill="1"/>
    <xf numFmtId="167" fontId="0" fillId="7" borderId="0" xfId="0" applyNumberFormat="1" applyFill="1"/>
    <xf numFmtId="0" fontId="0" fillId="7" borderId="0" xfId="0" applyFill="1"/>
    <xf numFmtId="164" fontId="2" fillId="7" borderId="0" xfId="0" applyNumberFormat="1" applyFont="1" applyFill="1" applyAlignment="1">
      <alignment horizontal="left" vertical="center"/>
    </xf>
    <xf numFmtId="10" fontId="0" fillId="6" borderId="0" xfId="1" applyNumberFormat="1" applyFont="1" applyFill="1"/>
    <xf numFmtId="167" fontId="0" fillId="0" borderId="3" xfId="0" applyNumberFormat="1" applyBorder="1"/>
    <xf numFmtId="164" fontId="7" fillId="0" borderId="0" xfId="0" applyNumberFormat="1" applyFont="1"/>
    <xf numFmtId="168" fontId="4" fillId="3" borderId="1" xfId="0" applyNumberFormat="1" applyFont="1" applyFill="1" applyBorder="1" applyAlignment="1">
      <alignment horizontal="center" vertical="center" wrapText="1"/>
    </xf>
    <xf numFmtId="10" fontId="0" fillId="6" borderId="0" xfId="1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66" fontId="8" fillId="0" borderId="0" xfId="0" applyNumberFormat="1" applyFont="1" applyAlignment="1">
      <alignment horizontal="right" vertical="center"/>
    </xf>
    <xf numFmtId="10" fontId="0" fillId="0" borderId="0" xfId="0" applyNumberFormat="1"/>
    <xf numFmtId="0" fontId="7" fillId="6" borderId="0" xfId="0" applyFont="1" applyFill="1"/>
    <xf numFmtId="0" fontId="10" fillId="6" borderId="0" xfId="0" applyFont="1" applyFill="1"/>
    <xf numFmtId="0" fontId="0" fillId="0" borderId="0" xfId="0" applyAlignment="1">
      <alignment horizontal="left" indent="1"/>
    </xf>
    <xf numFmtId="169" fontId="0" fillId="6" borderId="0" xfId="0" applyNumberFormat="1" applyFill="1"/>
    <xf numFmtId="9" fontId="0" fillId="0" borderId="0" xfId="1" applyFont="1"/>
    <xf numFmtId="0" fontId="10" fillId="0" borderId="0" xfId="0" applyFont="1"/>
    <xf numFmtId="166" fontId="11" fillId="0" borderId="0" xfId="0" applyNumberFormat="1" applyFont="1" applyAlignment="1">
      <alignment horizontal="right" vertical="center"/>
    </xf>
    <xf numFmtId="170" fontId="0" fillId="0" borderId="0" xfId="0" applyNumberFormat="1"/>
    <xf numFmtId="10" fontId="11" fillId="6" borderId="0" xfId="1" applyNumberFormat="1" applyFont="1" applyFill="1" applyAlignment="1">
      <alignment horizontal="right" vertical="center"/>
    </xf>
    <xf numFmtId="2" fontId="0" fillId="0" borderId="0" xfId="1" applyNumberFormat="1" applyFont="1"/>
    <xf numFmtId="166" fontId="5" fillId="0" borderId="0" xfId="0" applyNumberFormat="1" applyFont="1" applyAlignment="1">
      <alignment horizontal="center" vertical="center"/>
    </xf>
    <xf numFmtId="164" fontId="1" fillId="7" borderId="0" xfId="0" applyNumberFormat="1" applyFont="1" applyFill="1" applyAlignment="1">
      <alignment wrapText="1"/>
    </xf>
    <xf numFmtId="166" fontId="8" fillId="6" borderId="0" xfId="0" applyNumberFormat="1" applyFont="1" applyFill="1" applyAlignment="1">
      <alignment horizontal="right" vertical="center"/>
    </xf>
    <xf numFmtId="10" fontId="8" fillId="6" borderId="0" xfId="1" applyNumberFormat="1" applyFont="1" applyFill="1" applyAlignment="1">
      <alignment horizontal="right" vertical="center"/>
    </xf>
    <xf numFmtId="10" fontId="5" fillId="0" borderId="0" xfId="1" applyNumberFormat="1" applyFont="1" applyAlignment="1">
      <alignment horizontal="right" vertical="center"/>
    </xf>
    <xf numFmtId="0" fontId="7" fillId="6" borderId="0" xfId="0" applyFont="1" applyFill="1" applyAlignment="1">
      <alignment horizontal="left" indent="1"/>
    </xf>
    <xf numFmtId="166" fontId="12" fillId="0" borderId="0" xfId="0" applyNumberFormat="1" applyFont="1" applyAlignment="1">
      <alignment horizontal="center"/>
    </xf>
    <xf numFmtId="0" fontId="0" fillId="0" borderId="0" xfId="0" applyAlignment="1">
      <alignment horizontal="left" indent="2"/>
    </xf>
    <xf numFmtId="0" fontId="0" fillId="7" borderId="2" xfId="0" applyFill="1" applyBorder="1"/>
    <xf numFmtId="166" fontId="9" fillId="0" borderId="5" xfId="0" applyNumberFormat="1" applyFont="1" applyBorder="1" applyAlignment="1">
      <alignment horizontal="right" vertical="center"/>
    </xf>
    <xf numFmtId="172" fontId="0" fillId="0" borderId="0" xfId="1" applyNumberFormat="1" applyFont="1"/>
    <xf numFmtId="0" fontId="7" fillId="6" borderId="0" xfId="0" applyFont="1" applyFill="1" applyAlignment="1">
      <alignment horizontal="left" indent="2"/>
    </xf>
    <xf numFmtId="166" fontId="8" fillId="5" borderId="2" xfId="0" applyNumberFormat="1" applyFont="1" applyFill="1" applyBorder="1" applyAlignment="1">
      <alignment horizontal="right" vertical="center"/>
    </xf>
    <xf numFmtId="166" fontId="11" fillId="5" borderId="2" xfId="0" applyNumberFormat="1" applyFont="1" applyFill="1" applyBorder="1" applyAlignment="1">
      <alignment horizontal="right" vertical="center"/>
    </xf>
    <xf numFmtId="166" fontId="14" fillId="5" borderId="4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64" fontId="1" fillId="4" borderId="2" xfId="0" applyNumberFormat="1" applyFont="1" applyFill="1" applyBorder="1"/>
    <xf numFmtId="164" fontId="1" fillId="4" borderId="4" xfId="0" applyNumberFormat="1" applyFont="1" applyFill="1" applyBorder="1"/>
    <xf numFmtId="164" fontId="1" fillId="0" borderId="2" xfId="0" applyNumberFormat="1" applyFont="1" applyBorder="1"/>
    <xf numFmtId="164" fontId="1" fillId="5" borderId="2" xfId="0" applyNumberFormat="1" applyFont="1" applyFill="1" applyBorder="1"/>
    <xf numFmtId="164" fontId="2" fillId="7" borderId="2" xfId="0" applyNumberFormat="1" applyFont="1" applyFill="1" applyBorder="1" applyAlignment="1">
      <alignment horizontal="left" vertical="center"/>
    </xf>
    <xf numFmtId="0" fontId="1" fillId="0" borderId="5" xfId="0" applyFont="1" applyBorder="1"/>
    <xf numFmtId="0" fontId="1" fillId="4" borderId="4" xfId="0" applyFont="1" applyFill="1" applyBorder="1"/>
    <xf numFmtId="166" fontId="13" fillId="4" borderId="4" xfId="0" applyNumberFormat="1" applyFont="1" applyFill="1" applyBorder="1" applyAlignment="1">
      <alignment horizontal="right" vertical="center"/>
    </xf>
    <xf numFmtId="166" fontId="14" fillId="4" borderId="4" xfId="0" applyNumberFormat="1" applyFont="1" applyFill="1" applyBorder="1" applyAlignment="1">
      <alignment horizontal="right" vertical="center"/>
    </xf>
    <xf numFmtId="171" fontId="0" fillId="7" borderId="4" xfId="0" applyNumberFormat="1" applyFill="1" applyBorder="1"/>
    <xf numFmtId="166" fontId="0" fillId="7" borderId="4" xfId="0" applyNumberForma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7" borderId="4" xfId="0" applyFont="1" applyFill="1" applyBorder="1"/>
    <xf numFmtId="0" fontId="1" fillId="7" borderId="2" xfId="0" applyFont="1" applyFill="1" applyBorder="1"/>
    <xf numFmtId="0" fontId="1" fillId="0" borderId="3" xfId="0" applyFont="1" applyBorder="1"/>
    <xf numFmtId="166" fontId="11" fillId="0" borderId="3" xfId="0" applyNumberFormat="1" applyFont="1" applyBorder="1" applyAlignment="1">
      <alignment horizontal="right" vertical="center"/>
    </xf>
    <xf numFmtId="171" fontId="0" fillId="0" borderId="0" xfId="0" applyNumberFormat="1"/>
    <xf numFmtId="165" fontId="4" fillId="3" borderId="1" xfId="0" applyNumberFormat="1" applyFont="1" applyFill="1" applyBorder="1" applyAlignment="1">
      <alignment horizontal="center" vertical="center"/>
    </xf>
    <xf numFmtId="164" fontId="7" fillId="6" borderId="0" xfId="0" applyNumberFormat="1" applyFont="1" applyFill="1" applyAlignment="1">
      <alignment horizontal="left" indent="3"/>
    </xf>
    <xf numFmtId="173" fontId="0" fillId="0" borderId="0" xfId="0" applyNumberFormat="1"/>
    <xf numFmtId="167" fontId="15" fillId="0" borderId="2" xfId="0" applyNumberFormat="1" applyFont="1" applyBorder="1"/>
    <xf numFmtId="167" fontId="16" fillId="0" borderId="4" xfId="0" applyNumberFormat="1" applyFont="1" applyBorder="1"/>
    <xf numFmtId="0" fontId="15" fillId="0" borderId="0" xfId="0" applyFont="1"/>
    <xf numFmtId="167" fontId="15" fillId="7" borderId="0" xfId="0" applyNumberFormat="1" applyFont="1" applyFill="1"/>
    <xf numFmtId="166" fontId="11" fillId="0" borderId="0" xfId="0" applyNumberFormat="1" applyFont="1" applyAlignment="1">
      <alignment horizontal="center" vertical="center"/>
    </xf>
    <xf numFmtId="167" fontId="15" fillId="0" borderId="0" xfId="0" applyNumberFormat="1" applyFont="1"/>
    <xf numFmtId="167" fontId="15" fillId="0" borderId="3" xfId="0" applyNumberFormat="1" applyFont="1" applyBorder="1"/>
    <xf numFmtId="164" fontId="4" fillId="3" borderId="1" xfId="0" applyNumberFormat="1" applyFont="1" applyFill="1" applyBorder="1" applyAlignment="1">
      <alignment horizontal="left" vertical="center"/>
    </xf>
    <xf numFmtId="10" fontId="12" fillId="5" borderId="0" xfId="0" applyNumberFormat="1" applyFont="1" applyFill="1"/>
    <xf numFmtId="2" fontId="12" fillId="5" borderId="0" xfId="0" applyNumberFormat="1" applyFont="1" applyFill="1"/>
    <xf numFmtId="10" fontId="0" fillId="0" borderId="0" xfId="1" applyNumberFormat="1" applyFont="1"/>
    <xf numFmtId="10" fontId="12" fillId="0" borderId="0" xfId="0" applyNumberFormat="1" applyFont="1"/>
    <xf numFmtId="0" fontId="1" fillId="0" borderId="0" xfId="0" applyFont="1"/>
    <xf numFmtId="174" fontId="0" fillId="0" borderId="0" xfId="0" applyNumberFormat="1"/>
    <xf numFmtId="10" fontId="1" fillId="0" borderId="0" xfId="0" applyNumberFormat="1" applyFont="1"/>
    <xf numFmtId="166" fontId="8" fillId="5" borderId="0" xfId="0" applyNumberFormat="1" applyFont="1" applyFill="1" applyAlignment="1">
      <alignment horizontal="right" vertical="center"/>
    </xf>
    <xf numFmtId="166" fontId="0" fillId="0" borderId="0" xfId="0" applyNumberFormat="1"/>
    <xf numFmtId="175" fontId="0" fillId="0" borderId="0" xfId="0" applyNumberFormat="1"/>
    <xf numFmtId="177" fontId="0" fillId="0" borderId="0" xfId="0" applyNumberFormat="1"/>
    <xf numFmtId="10" fontId="1" fillId="7" borderId="0" xfId="0" applyNumberFormat="1" applyFont="1" applyFill="1" applyAlignment="1">
      <alignment horizontal="center"/>
    </xf>
    <xf numFmtId="10" fontId="1" fillId="7" borderId="0" xfId="0" applyNumberFormat="1" applyFont="1" applyFill="1"/>
    <xf numFmtId="176" fontId="17" fillId="0" borderId="0" xfId="0" applyNumberFormat="1" applyFont="1"/>
    <xf numFmtId="10" fontId="0" fillId="5" borderId="2" xfId="0" applyNumberFormat="1" applyFill="1" applyBorder="1"/>
    <xf numFmtId="0" fontId="0" fillId="5" borderId="2" xfId="0" applyFill="1" applyBorder="1"/>
    <xf numFmtId="171" fontId="0" fillId="5" borderId="2" xfId="0" applyNumberFormat="1" applyFill="1" applyBorder="1"/>
    <xf numFmtId="10" fontId="1" fillId="5" borderId="4" xfId="1" applyNumberFormat="1" applyFont="1" applyFill="1" applyBorder="1"/>
    <xf numFmtId="0" fontId="0" fillId="5" borderId="4" xfId="0" applyFill="1" applyBorder="1"/>
    <xf numFmtId="166" fontId="9" fillId="5" borderId="2" xfId="0" applyNumberFormat="1" applyFont="1" applyFill="1" applyBorder="1" applyAlignment="1">
      <alignment horizontal="right" vertical="center"/>
    </xf>
    <xf numFmtId="177" fontId="9" fillId="5" borderId="4" xfId="0" applyNumberFormat="1" applyFont="1" applyFill="1" applyBorder="1" applyAlignment="1">
      <alignment horizontal="right" vertical="center"/>
    </xf>
    <xf numFmtId="10" fontId="1" fillId="8" borderId="0" xfId="0" applyNumberFormat="1" applyFont="1" applyFill="1" applyAlignment="1">
      <alignment horizontal="center"/>
    </xf>
    <xf numFmtId="10" fontId="1" fillId="8" borderId="0" xfId="0" applyNumberFormat="1" applyFont="1" applyFill="1"/>
    <xf numFmtId="177" fontId="0" fillId="8" borderId="0" xfId="0" applyNumberFormat="1" applyFill="1"/>
    <xf numFmtId="4" fontId="5" fillId="0" borderId="0" xfId="0" applyNumberFormat="1" applyFont="1" applyAlignment="1">
      <alignment horizontal="right" vertical="center"/>
    </xf>
    <xf numFmtId="4" fontId="0" fillId="0" borderId="2" xfId="0" applyNumberFormat="1" applyBorder="1"/>
    <xf numFmtId="4" fontId="0" fillId="0" borderId="0" xfId="0" applyNumberFormat="1"/>
    <xf numFmtId="4" fontId="1" fillId="0" borderId="4" xfId="0" applyNumberFormat="1" applyFont="1" applyBorder="1"/>
    <xf numFmtId="177" fontId="0" fillId="5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2270760</xdr:colOff>
      <xdr:row>4</xdr:row>
      <xdr:rowOff>121920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A6F412-AA09-44EB-A2C7-F8EB3D8B7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0"/>
          <a:ext cx="2270760" cy="853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2270760</xdr:colOff>
      <xdr:row>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F04FA-41CD-47D8-9337-4862672C8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0760" cy="853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2270760</xdr:colOff>
      <xdr:row>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E0681-092E-4464-80B6-53FC702BE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0760" cy="8534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2270760</xdr:colOff>
      <xdr:row>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D1F34-AD30-405A-843F-C50B3057E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0"/>
          <a:ext cx="2270760" cy="8534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2270760</xdr:colOff>
      <xdr:row>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B40388-DF0E-4AEC-9737-DFE625706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0"/>
          <a:ext cx="2270760" cy="8534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2270760</xdr:colOff>
      <xdr:row>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49FF4F-DB74-4EC8-8F7D-5ED5C52E5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0"/>
          <a:ext cx="2270760" cy="8534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2270760</xdr:colOff>
      <xdr:row>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F60DE-6D6E-4E11-870A-E82310466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0"/>
          <a:ext cx="2270760" cy="8534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2270760</xdr:colOff>
      <xdr:row>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FA51D-9867-47A8-9ED8-CC6B2B7AF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0"/>
          <a:ext cx="2270760" cy="8534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2270760</xdr:colOff>
      <xdr:row>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34C3A5-D8CB-4B0B-9DFB-144C4C489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0"/>
          <a:ext cx="2270760" cy="8534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2270760</xdr:colOff>
      <xdr:row>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85E4A4-33F7-4B58-B636-EA1F44B88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0"/>
          <a:ext cx="2270760" cy="853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D8C79FE-D9B0-476F-8BF7-E11C78F9EA74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1B8C5F2-E17A-45C6-AE3A-47CE84E97577}">
  <we:reference id="wa200006575" version="1.0.0.8" store="en-US" storeType="OMEX"/>
  <we:alternateReferences>
    <we:reference id="wa200006575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2F9D-A3F7-4F31-8EC2-4BC8A025D548}">
  <dimension ref="B6:E27"/>
  <sheetViews>
    <sheetView showGridLines="0" workbookViewId="0">
      <pane ySplit="8" topLeftCell="A9" activePane="bottomLeft" state="frozen"/>
      <selection pane="bottomLeft" activeCell="H17" sqref="H17"/>
    </sheetView>
  </sheetViews>
  <sheetFormatPr defaultRowHeight="14.4" x14ac:dyDescent="0.3"/>
  <cols>
    <col min="1" max="1" width="2.33203125" style="1" customWidth="1"/>
    <col min="2" max="2" width="40.77734375" style="1" customWidth="1"/>
    <col min="3" max="5" width="13.77734375" style="1" customWidth="1"/>
    <col min="6" max="6" width="10.33203125" style="1" bestFit="1" customWidth="1"/>
    <col min="7" max="16384" width="8.88671875" style="1"/>
  </cols>
  <sheetData>
    <row r="6" spans="2:5" ht="15.6" x14ac:dyDescent="0.3">
      <c r="B6" s="4" t="s">
        <v>42</v>
      </c>
      <c r="C6" s="5"/>
      <c r="D6" s="5"/>
      <c r="E6" s="5"/>
    </row>
    <row r="8" spans="2:5" x14ac:dyDescent="0.3">
      <c r="B8" s="6" t="s">
        <v>40</v>
      </c>
      <c r="C8" s="7">
        <v>2023</v>
      </c>
      <c r="D8" s="7">
        <f>C8+1</f>
        <v>2024</v>
      </c>
      <c r="E8" s="7">
        <f>D8+1</f>
        <v>2025</v>
      </c>
    </row>
    <row r="9" spans="2:5" x14ac:dyDescent="0.3">
      <c r="B9" s="11" t="s">
        <v>0</v>
      </c>
      <c r="C9" s="109">
        <v>33723297</v>
      </c>
      <c r="D9" s="109">
        <v>39000966</v>
      </c>
      <c r="E9" s="109">
        <v>45183036</v>
      </c>
    </row>
    <row r="10" spans="2:5" x14ac:dyDescent="0.3">
      <c r="B10" s="3" t="s">
        <v>9</v>
      </c>
      <c r="C10" s="109">
        <v>19715368</v>
      </c>
      <c r="D10" s="109">
        <v>21038464</v>
      </c>
      <c r="E10" s="109">
        <v>23275329</v>
      </c>
    </row>
    <row r="11" spans="2:5" x14ac:dyDescent="0.3">
      <c r="B11" s="3" t="s">
        <v>1</v>
      </c>
      <c r="C11" s="109">
        <v>2657883</v>
      </c>
      <c r="D11" s="109">
        <v>2917554</v>
      </c>
      <c r="E11" s="109">
        <v>3301306</v>
      </c>
    </row>
    <row r="12" spans="2:5" x14ac:dyDescent="0.3">
      <c r="B12" s="3" t="s">
        <v>2</v>
      </c>
      <c r="C12" s="109">
        <v>2675758</v>
      </c>
      <c r="D12" s="109">
        <v>2925295</v>
      </c>
      <c r="E12" s="109">
        <v>3391390</v>
      </c>
    </row>
    <row r="13" spans="2:5" x14ac:dyDescent="0.3">
      <c r="B13" s="3" t="s">
        <v>3</v>
      </c>
      <c r="C13" s="109">
        <v>1720285</v>
      </c>
      <c r="D13" s="109">
        <v>1702039</v>
      </c>
      <c r="E13" s="109">
        <v>1888408</v>
      </c>
    </row>
    <row r="14" spans="2:5" x14ac:dyDescent="0.3">
      <c r="B14" s="55" t="s">
        <v>4</v>
      </c>
      <c r="C14" s="110">
        <f>C9-SUM(C10:C13)</f>
        <v>6954003</v>
      </c>
      <c r="D14" s="110">
        <f t="shared" ref="D14:E14" si="0">D9-SUM(D10:D13)</f>
        <v>10417614</v>
      </c>
      <c r="E14" s="110">
        <f t="shared" si="0"/>
        <v>13326603</v>
      </c>
    </row>
    <row r="15" spans="2:5" x14ac:dyDescent="0.3">
      <c r="B15" s="1" t="s">
        <v>5</v>
      </c>
      <c r="C15" s="111"/>
      <c r="D15" s="111"/>
      <c r="E15" s="111"/>
    </row>
    <row r="16" spans="2:5" x14ac:dyDescent="0.3">
      <c r="B16" s="3" t="s">
        <v>6</v>
      </c>
      <c r="C16" s="109">
        <v>-699826</v>
      </c>
      <c r="D16" s="109">
        <v>-718733</v>
      </c>
      <c r="E16" s="109">
        <v>-776510</v>
      </c>
    </row>
    <row r="17" spans="2:5" x14ac:dyDescent="0.3">
      <c r="B17" s="3" t="s">
        <v>10</v>
      </c>
      <c r="C17" s="109">
        <v>-48772</v>
      </c>
      <c r="D17" s="109">
        <v>266776</v>
      </c>
      <c r="E17" s="109">
        <v>172459</v>
      </c>
    </row>
    <row r="18" spans="2:5" x14ac:dyDescent="0.3">
      <c r="B18" s="55" t="s">
        <v>11</v>
      </c>
      <c r="C18" s="110">
        <f>C14+C16+C17</f>
        <v>6205405</v>
      </c>
      <c r="D18" s="110">
        <f t="shared" ref="D18:E18" si="1">D14+D16+D17</f>
        <v>9965657</v>
      </c>
      <c r="E18" s="110">
        <f t="shared" si="1"/>
        <v>12722552</v>
      </c>
    </row>
    <row r="19" spans="2:5" x14ac:dyDescent="0.3">
      <c r="B19" s="1" t="s">
        <v>7</v>
      </c>
      <c r="C19" s="109">
        <v>-797415</v>
      </c>
      <c r="D19" s="109">
        <v>-1254026</v>
      </c>
      <c r="E19" s="109">
        <v>-1741351</v>
      </c>
    </row>
    <row r="20" spans="2:5" ht="15" thickBot="1" x14ac:dyDescent="0.35">
      <c r="B20" s="56" t="s">
        <v>8</v>
      </c>
      <c r="C20" s="112">
        <f>C18+C19</f>
        <v>5407990</v>
      </c>
      <c r="D20" s="112">
        <f t="shared" ref="D20:E20" si="2">D18+D19</f>
        <v>8711631</v>
      </c>
      <c r="E20" s="112">
        <f t="shared" si="2"/>
        <v>10981201</v>
      </c>
    </row>
    <row r="22" spans="2:5" x14ac:dyDescent="0.3">
      <c r="B22" s="11" t="s">
        <v>59</v>
      </c>
    </row>
    <row r="23" spans="2:5" x14ac:dyDescent="0.3">
      <c r="B23" s="23" t="s">
        <v>53</v>
      </c>
      <c r="C23" s="26">
        <v>0</v>
      </c>
      <c r="D23" s="21">
        <f>D9/C9-1</f>
        <v>0.15649919994477401</v>
      </c>
      <c r="E23" s="21">
        <f>E9/D9-1</f>
        <v>0.15851068919677536</v>
      </c>
    </row>
    <row r="24" spans="2:5" x14ac:dyDescent="0.3">
      <c r="B24" s="23" t="s">
        <v>60</v>
      </c>
      <c r="C24" s="21">
        <f>(C9-C10)/C9</f>
        <v>0.41537839553469519</v>
      </c>
      <c r="D24" s="21">
        <f t="shared" ref="D24:E24" si="3">(D9-D10)/D9</f>
        <v>0.46056556650417324</v>
      </c>
      <c r="E24" s="21">
        <f t="shared" si="3"/>
        <v>0.48486575802475956</v>
      </c>
    </row>
    <row r="25" spans="2:5" x14ac:dyDescent="0.3">
      <c r="B25" s="23" t="s">
        <v>61</v>
      </c>
      <c r="C25" s="21">
        <f>C14/C9</f>
        <v>0.20620768485358951</v>
      </c>
      <c r="D25" s="21">
        <f t="shared" ref="D25:E25" si="4">D14/D9</f>
        <v>0.26711169154117875</v>
      </c>
      <c r="E25" s="21">
        <f t="shared" si="4"/>
        <v>0.29494704605507255</v>
      </c>
    </row>
    <row r="26" spans="2:5" x14ac:dyDescent="0.3">
      <c r="B26" s="23" t="s">
        <v>62</v>
      </c>
      <c r="C26" s="21">
        <f>C20/C9</f>
        <v>0.16036362043723068</v>
      </c>
      <c r="D26" s="21">
        <f t="shared" ref="D26:E26" si="5">D20/D9</f>
        <v>0.22336962115246067</v>
      </c>
      <c r="E26" s="21">
        <f t="shared" si="5"/>
        <v>0.24303813935832022</v>
      </c>
    </row>
    <row r="27" spans="2:5" x14ac:dyDescent="0.3">
      <c r="B27" s="23" t="s">
        <v>63</v>
      </c>
      <c r="C27" s="21">
        <f>-(C19/C18)</f>
        <v>0.12850329672277636</v>
      </c>
      <c r="D27" s="21">
        <f t="shared" ref="D27:E27" si="6">-(D19/D18)</f>
        <v>0.12583475429668109</v>
      </c>
      <c r="E27" s="21">
        <f t="shared" si="6"/>
        <v>0.13687120319885507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41DA-8D01-4E00-B9B8-EC531B09F74D}">
  <dimension ref="B6:E40"/>
  <sheetViews>
    <sheetView showGridLines="0" workbookViewId="0">
      <pane xSplit="1" ySplit="8" topLeftCell="B25" activePane="bottomRight" state="frozen"/>
      <selection pane="topRight" activeCell="B1" sqref="B1"/>
      <selection pane="bottomLeft" activeCell="A9" sqref="A9"/>
      <selection pane="bottomRight" activeCell="G38" sqref="G38"/>
    </sheetView>
  </sheetViews>
  <sheetFormatPr defaultRowHeight="14.4" x14ac:dyDescent="0.3"/>
  <cols>
    <col min="1" max="1" width="2.33203125" style="1" customWidth="1"/>
    <col min="2" max="2" width="40.44140625" style="1" bestFit="1" customWidth="1"/>
    <col min="3" max="5" width="13.77734375" style="1" customWidth="1"/>
    <col min="6" max="7" width="10.33203125" style="1" bestFit="1" customWidth="1"/>
    <col min="8" max="16384" width="8.88671875" style="1"/>
  </cols>
  <sheetData>
    <row r="6" spans="2:5" ht="15.6" x14ac:dyDescent="0.3">
      <c r="B6" s="4" t="s">
        <v>43</v>
      </c>
      <c r="C6" s="4"/>
      <c r="D6" s="5"/>
      <c r="E6" s="5"/>
    </row>
    <row r="8" spans="2:5" x14ac:dyDescent="0.3">
      <c r="B8" s="6" t="s">
        <v>40</v>
      </c>
      <c r="C8" s="7">
        <v>2023</v>
      </c>
      <c r="D8" s="7">
        <f>C8+1</f>
        <v>2024</v>
      </c>
      <c r="E8" s="7">
        <f>D8+1</f>
        <v>2025</v>
      </c>
    </row>
    <row r="9" spans="2:5" x14ac:dyDescent="0.3">
      <c r="B9" s="40" t="s">
        <v>12</v>
      </c>
      <c r="C9" s="16"/>
      <c r="D9" s="17"/>
      <c r="E9" s="17"/>
    </row>
    <row r="10" spans="2:5" x14ac:dyDescent="0.3">
      <c r="B10" s="13" t="s">
        <v>13</v>
      </c>
      <c r="C10" s="13"/>
      <c r="D10" s="12"/>
      <c r="E10" s="12"/>
    </row>
    <row r="11" spans="2:5" x14ac:dyDescent="0.3">
      <c r="B11" s="3" t="s">
        <v>14</v>
      </c>
      <c r="C11" s="8">
        <v>7116913</v>
      </c>
      <c r="D11" s="8">
        <v>7804733</v>
      </c>
      <c r="E11" s="8">
        <v>9033681</v>
      </c>
    </row>
    <row r="12" spans="2:5" x14ac:dyDescent="0.3">
      <c r="B12" s="3" t="s">
        <v>15</v>
      </c>
      <c r="C12" s="8">
        <v>20973</v>
      </c>
      <c r="D12" s="8">
        <v>1779006</v>
      </c>
      <c r="E12" s="8">
        <v>28678</v>
      </c>
    </row>
    <row r="13" spans="2:5" x14ac:dyDescent="0.3">
      <c r="B13" s="1" t="s">
        <v>16</v>
      </c>
      <c r="C13" s="8">
        <v>2780247</v>
      </c>
      <c r="D13" s="8">
        <v>3516640</v>
      </c>
      <c r="E13" s="8">
        <v>3957832</v>
      </c>
    </row>
    <row r="14" spans="2:5" x14ac:dyDescent="0.3">
      <c r="B14" s="57" t="s">
        <v>17</v>
      </c>
      <c r="C14" s="9">
        <f>SUM(C11:C13)</f>
        <v>9918133</v>
      </c>
      <c r="D14" s="9">
        <f>SUM(D11:D13)</f>
        <v>13100379</v>
      </c>
      <c r="E14" s="9">
        <f>SUM(E11:E13)</f>
        <v>13020191</v>
      </c>
    </row>
    <row r="15" spans="2:5" x14ac:dyDescent="0.3">
      <c r="B15" s="3" t="s">
        <v>18</v>
      </c>
      <c r="C15" s="8">
        <v>31658056</v>
      </c>
      <c r="D15" s="8">
        <v>32452462</v>
      </c>
      <c r="E15" s="8">
        <v>32778392</v>
      </c>
    </row>
    <row r="16" spans="2:5" x14ac:dyDescent="0.3">
      <c r="B16" s="3" t="s">
        <v>19</v>
      </c>
      <c r="C16" s="8">
        <v>1491444</v>
      </c>
      <c r="D16" s="8">
        <v>1593756</v>
      </c>
      <c r="E16" s="8">
        <v>2004350</v>
      </c>
    </row>
    <row r="17" spans="2:5" x14ac:dyDescent="0.3">
      <c r="B17" s="3" t="s">
        <v>20</v>
      </c>
      <c r="C17" s="8">
        <v>5664359</v>
      </c>
      <c r="D17" s="8">
        <v>6483777</v>
      </c>
      <c r="E17" s="8">
        <v>7794060</v>
      </c>
    </row>
    <row r="18" spans="2:5" ht="15" thickBot="1" x14ac:dyDescent="0.35">
      <c r="B18" s="56" t="s">
        <v>21</v>
      </c>
      <c r="C18" s="10">
        <f>SUM(C14:C17)</f>
        <v>48731992</v>
      </c>
      <c r="D18" s="10">
        <f>SUM(D14:D17)</f>
        <v>53630374</v>
      </c>
      <c r="E18" s="10">
        <f>SUM(E14:E17)</f>
        <v>55596993</v>
      </c>
    </row>
    <row r="19" spans="2:5" x14ac:dyDescent="0.3">
      <c r="B19" s="2"/>
      <c r="C19" s="2"/>
      <c r="D19" s="14"/>
      <c r="E19" s="14"/>
    </row>
    <row r="20" spans="2:5" x14ac:dyDescent="0.3">
      <c r="B20" s="16" t="s">
        <v>22</v>
      </c>
      <c r="C20" s="16"/>
      <c r="D20" s="18"/>
      <c r="E20" s="18"/>
    </row>
    <row r="21" spans="2:5" x14ac:dyDescent="0.3">
      <c r="B21" s="2" t="s">
        <v>23</v>
      </c>
      <c r="C21" s="2"/>
      <c r="D21" s="14"/>
      <c r="E21" s="14"/>
    </row>
    <row r="22" spans="2:5" x14ac:dyDescent="0.3">
      <c r="B22" s="3" t="s">
        <v>24</v>
      </c>
      <c r="C22" s="8">
        <v>4466470</v>
      </c>
      <c r="D22" s="8">
        <v>4393681</v>
      </c>
      <c r="E22" s="8">
        <v>4084854</v>
      </c>
    </row>
    <row r="23" spans="2:5" x14ac:dyDescent="0.3">
      <c r="B23" s="3" t="s">
        <v>25</v>
      </c>
      <c r="C23" s="8">
        <v>747412</v>
      </c>
      <c r="D23" s="8">
        <v>899909</v>
      </c>
      <c r="E23" s="8">
        <v>900612</v>
      </c>
    </row>
    <row r="24" spans="2:5" x14ac:dyDescent="0.3">
      <c r="B24" s="3" t="s">
        <v>26</v>
      </c>
      <c r="C24" s="8">
        <v>1803960</v>
      </c>
      <c r="D24" s="8">
        <v>2156544</v>
      </c>
      <c r="E24" s="8">
        <v>3220869</v>
      </c>
    </row>
    <row r="25" spans="2:5" x14ac:dyDescent="0.3">
      <c r="B25" s="3" t="s">
        <v>27</v>
      </c>
      <c r="C25" s="8">
        <v>1442969</v>
      </c>
      <c r="D25" s="8">
        <v>1520813</v>
      </c>
      <c r="E25" s="8">
        <v>1775730</v>
      </c>
    </row>
    <row r="26" spans="2:5" x14ac:dyDescent="0.3">
      <c r="B26" s="3" t="s">
        <v>28</v>
      </c>
      <c r="C26" s="8">
        <v>399844</v>
      </c>
      <c r="D26" s="8">
        <v>1784453</v>
      </c>
      <c r="E26" s="8">
        <v>998865</v>
      </c>
    </row>
    <row r="27" spans="2:5" x14ac:dyDescent="0.3">
      <c r="B27" s="58" t="s">
        <v>29</v>
      </c>
      <c r="C27" s="9">
        <f>SUM(C22:C26)</f>
        <v>8860655</v>
      </c>
      <c r="D27" s="9">
        <f>SUM(D22:D26)</f>
        <v>10755400</v>
      </c>
      <c r="E27" s="9">
        <f>SUM(E22:E26)</f>
        <v>10980930</v>
      </c>
    </row>
    <row r="28" spans="2:5" x14ac:dyDescent="0.3">
      <c r="B28" s="1" t="s">
        <v>30</v>
      </c>
      <c r="C28" s="8">
        <v>2578173</v>
      </c>
      <c r="D28" s="8">
        <v>1780806</v>
      </c>
      <c r="E28" s="8">
        <v>1579476</v>
      </c>
    </row>
    <row r="29" spans="2:5" x14ac:dyDescent="0.3">
      <c r="B29" s="3" t="s">
        <v>31</v>
      </c>
      <c r="C29" s="8">
        <v>14143417</v>
      </c>
      <c r="D29" s="8">
        <v>13798351</v>
      </c>
      <c r="E29" s="8">
        <v>13463971</v>
      </c>
    </row>
    <row r="30" spans="2:5" x14ac:dyDescent="0.3">
      <c r="B30" s="3" t="s">
        <v>32</v>
      </c>
      <c r="C30" s="8">
        <v>2561434</v>
      </c>
      <c r="D30" s="8">
        <v>2552250</v>
      </c>
      <c r="E30" s="8">
        <v>2957128</v>
      </c>
    </row>
    <row r="31" spans="2:5" x14ac:dyDescent="0.3">
      <c r="B31" s="55" t="s">
        <v>33</v>
      </c>
      <c r="C31" s="9">
        <f>SUM(C27:C30)</f>
        <v>28143679</v>
      </c>
      <c r="D31" s="9">
        <f>SUM(D27:D30)</f>
        <v>28886807</v>
      </c>
      <c r="E31" s="9">
        <f>SUM(E27:E30)</f>
        <v>28981505</v>
      </c>
    </row>
    <row r="32" spans="2:5" x14ac:dyDescent="0.3">
      <c r="B32" s="2" t="s">
        <v>34</v>
      </c>
      <c r="C32" s="2"/>
      <c r="D32" s="14"/>
      <c r="E32" s="14"/>
    </row>
    <row r="33" spans="2:5" x14ac:dyDescent="0.3">
      <c r="B33" s="3" t="s">
        <v>35</v>
      </c>
      <c r="C33" s="8">
        <v>5145172</v>
      </c>
      <c r="D33" s="8">
        <v>6252126</v>
      </c>
      <c r="E33" s="8">
        <v>7286410</v>
      </c>
    </row>
    <row r="34" spans="2:5" x14ac:dyDescent="0.3">
      <c r="B34" s="3" t="s">
        <v>36</v>
      </c>
      <c r="C34" s="8">
        <v>-6922200</v>
      </c>
      <c r="D34" s="8">
        <v>-13171638</v>
      </c>
      <c r="E34" s="8">
        <v>-22372658</v>
      </c>
    </row>
    <row r="35" spans="2:5" x14ac:dyDescent="0.3">
      <c r="B35" s="3" t="s">
        <v>64</v>
      </c>
      <c r="C35" s="8">
        <v>-223945</v>
      </c>
      <c r="D35" s="8">
        <v>362162</v>
      </c>
      <c r="E35" s="8">
        <v>-580382</v>
      </c>
    </row>
    <row r="36" spans="2:5" x14ac:dyDescent="0.3">
      <c r="B36" s="3" t="s">
        <v>37</v>
      </c>
      <c r="C36" s="8">
        <v>22589286</v>
      </c>
      <c r="D36" s="8">
        <v>31300917</v>
      </c>
      <c r="E36" s="8">
        <v>42282118</v>
      </c>
    </row>
    <row r="37" spans="2:5" x14ac:dyDescent="0.3">
      <c r="B37" s="55" t="s">
        <v>38</v>
      </c>
      <c r="C37" s="22">
        <f>SUM(C33:C36)</f>
        <v>20588313</v>
      </c>
      <c r="D37" s="22">
        <f>SUM(D33:D36)</f>
        <v>24743567</v>
      </c>
      <c r="E37" s="22">
        <f>SUM(E33:E36)</f>
        <v>26615488</v>
      </c>
    </row>
    <row r="38" spans="2:5" ht="15" thickBot="1" x14ac:dyDescent="0.35">
      <c r="B38" s="56" t="s">
        <v>39</v>
      </c>
      <c r="C38" s="10">
        <f>C31+C37</f>
        <v>48731992</v>
      </c>
      <c r="D38" s="10">
        <f>D31+D37</f>
        <v>53630374</v>
      </c>
      <c r="E38" s="10">
        <f>E31+E37</f>
        <v>55596993</v>
      </c>
    </row>
    <row r="40" spans="2:5" x14ac:dyDescent="0.3">
      <c r="B40" s="15" t="s">
        <v>41</v>
      </c>
      <c r="C40" s="26">
        <f>C38-C18</f>
        <v>0</v>
      </c>
      <c r="D40" s="26">
        <f t="shared" ref="D40:E40" si="0">D38-D18</f>
        <v>0</v>
      </c>
      <c r="E40" s="26">
        <f t="shared" si="0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4F95-D96E-4809-854B-7BA15EB24CDA}">
  <dimension ref="B6:M34"/>
  <sheetViews>
    <sheetView showGridLines="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7" sqref="B27"/>
    </sheetView>
  </sheetViews>
  <sheetFormatPr defaultRowHeight="14.4" x14ac:dyDescent="0.3"/>
  <cols>
    <col min="1" max="1" width="2.33203125" customWidth="1"/>
    <col min="2" max="2" width="40.77734375" customWidth="1"/>
    <col min="3" max="10" width="13.77734375" customWidth="1"/>
  </cols>
  <sheetData>
    <row r="6" spans="2:13" ht="15.6" x14ac:dyDescent="0.3">
      <c r="B6" s="4" t="s">
        <v>44</v>
      </c>
      <c r="C6" s="5"/>
      <c r="D6" s="5"/>
      <c r="E6" s="5"/>
      <c r="F6" s="5"/>
      <c r="G6" s="5"/>
      <c r="H6" s="5"/>
      <c r="I6" s="5"/>
      <c r="J6" s="5"/>
    </row>
    <row r="8" spans="2:13" x14ac:dyDescent="0.3">
      <c r="B8" s="6" t="s">
        <v>40</v>
      </c>
      <c r="C8" s="7">
        <v>2023</v>
      </c>
      <c r="D8" s="7">
        <f>C8+1</f>
        <v>2024</v>
      </c>
      <c r="E8" s="7">
        <f>D8+1</f>
        <v>2025</v>
      </c>
      <c r="F8" s="24">
        <f>E8+1</f>
        <v>2026</v>
      </c>
      <c r="G8" s="24">
        <f t="shared" ref="G8:J8" si="0">F8+1</f>
        <v>2027</v>
      </c>
      <c r="H8" s="24">
        <f t="shared" si="0"/>
        <v>2028</v>
      </c>
      <c r="I8" s="24">
        <f t="shared" si="0"/>
        <v>2029</v>
      </c>
      <c r="J8" s="24">
        <f t="shared" si="0"/>
        <v>2030</v>
      </c>
    </row>
    <row r="10" spans="2:13" x14ac:dyDescent="0.3">
      <c r="B10" s="20" t="s">
        <v>45</v>
      </c>
      <c r="C10" s="19"/>
      <c r="D10" s="19"/>
      <c r="E10" s="19"/>
      <c r="F10" s="19"/>
      <c r="G10" s="19"/>
      <c r="H10" s="19"/>
      <c r="I10" s="19"/>
      <c r="J10" s="19"/>
    </row>
    <row r="11" spans="2:13" x14ac:dyDescent="0.3">
      <c r="B11" t="s">
        <v>46</v>
      </c>
      <c r="C11" s="8">
        <v>14873783</v>
      </c>
      <c r="D11" s="8">
        <v>17359369</v>
      </c>
      <c r="E11" s="8">
        <v>19957152</v>
      </c>
      <c r="F11" s="27">
        <f>E11*(1+F12)</f>
        <v>22863857.648747236</v>
      </c>
      <c r="G11" s="27">
        <f t="shared" ref="G11:J11" si="1">F11*(1+G12)</f>
        <v>25850959.312538244</v>
      </c>
      <c r="H11" s="27">
        <f t="shared" si="1"/>
        <v>28840553.405368004</v>
      </c>
      <c r="I11" s="27">
        <f t="shared" si="1"/>
        <v>31599074.966592126</v>
      </c>
      <c r="J11" s="27">
        <f t="shared" si="1"/>
        <v>33989460.215391323</v>
      </c>
    </row>
    <row r="12" spans="2:13" x14ac:dyDescent="0.3">
      <c r="B12" s="29" t="s">
        <v>47</v>
      </c>
      <c r="C12" s="25" t="s">
        <v>65</v>
      </c>
      <c r="D12" s="21">
        <f>D11/C11-1</f>
        <v>0.16711189076780264</v>
      </c>
      <c r="E12" s="21">
        <f t="shared" ref="E12" si="2">E11/D11-1</f>
        <v>0.14964731724983782</v>
      </c>
      <c r="F12" s="21">
        <f>E12-0.4%</f>
        <v>0.14564731724983782</v>
      </c>
      <c r="G12" s="21">
        <f>F12-1.5%</f>
        <v>0.1306473172498378</v>
      </c>
      <c r="H12" s="21">
        <f t="shared" ref="H12" si="3">G12-1.5%</f>
        <v>0.1156473172498378</v>
      </c>
      <c r="I12" s="21">
        <f>H12-2%</f>
        <v>9.5647317249837799E-2</v>
      </c>
      <c r="J12" s="21">
        <f>I12-2%</f>
        <v>7.5647317249837795E-2</v>
      </c>
      <c r="M12" s="28"/>
    </row>
    <row r="14" spans="2:13" x14ac:dyDescent="0.3">
      <c r="B14" s="20" t="s">
        <v>48</v>
      </c>
      <c r="C14" s="19"/>
      <c r="D14" s="19"/>
      <c r="E14" s="19"/>
      <c r="F14" s="19"/>
      <c r="G14" s="19"/>
      <c r="H14" s="19"/>
      <c r="I14" s="19"/>
      <c r="J14" s="19"/>
    </row>
    <row r="15" spans="2:13" x14ac:dyDescent="0.3">
      <c r="B15" t="s">
        <v>46</v>
      </c>
      <c r="C15" s="8">
        <v>10556487</v>
      </c>
      <c r="D15" s="8">
        <v>12387035</v>
      </c>
      <c r="E15" s="8">
        <v>14514646</v>
      </c>
      <c r="F15" s="27">
        <f>E15*(1+F16)</f>
        <v>16688375.635411911</v>
      </c>
      <c r="G15" s="27">
        <f t="shared" ref="G15:J15" si="4">F15*(1+G16)</f>
        <v>19020761.698354863</v>
      </c>
      <c r="H15" s="27">
        <f t="shared" si="4"/>
        <v>21488917.031787187</v>
      </c>
      <c r="I15" s="27">
        <f t="shared" si="4"/>
        <v>23955009.209130812</v>
      </c>
      <c r="J15" s="27">
        <f t="shared" si="4"/>
        <v>26344787.747621465</v>
      </c>
    </row>
    <row r="16" spans="2:13" x14ac:dyDescent="0.3">
      <c r="B16" s="29" t="s">
        <v>47</v>
      </c>
      <c r="C16" s="25" t="s">
        <v>65</v>
      </c>
      <c r="D16" s="21">
        <f>D15/C15-1</f>
        <v>0.17340503521673445</v>
      </c>
      <c r="E16" s="21">
        <f>E15/D15-1</f>
        <v>0.17176111958995843</v>
      </c>
      <c r="F16" s="21">
        <f>E16-2.2%</f>
        <v>0.14976111958995844</v>
      </c>
      <c r="G16" s="21">
        <f>F16-1%</f>
        <v>0.13976111958995843</v>
      </c>
      <c r="H16" s="21">
        <f t="shared" ref="H16" si="5">G16-1%</f>
        <v>0.12976111958995842</v>
      </c>
      <c r="I16" s="21">
        <f>H16-1.5%</f>
        <v>0.11476111958995842</v>
      </c>
      <c r="J16" s="21">
        <f>I16-1.5%</f>
        <v>9.9761119589958425E-2</v>
      </c>
    </row>
    <row r="18" spans="2:12" x14ac:dyDescent="0.3">
      <c r="B18" s="20" t="s">
        <v>49</v>
      </c>
      <c r="C18" s="19"/>
      <c r="D18" s="19"/>
      <c r="E18" s="19"/>
      <c r="F18" s="19"/>
      <c r="G18" s="19"/>
      <c r="H18" s="19"/>
      <c r="I18" s="19"/>
      <c r="J18" s="19"/>
    </row>
    <row r="19" spans="2:12" x14ac:dyDescent="0.3">
      <c r="B19" t="s">
        <v>46</v>
      </c>
      <c r="C19" s="8">
        <v>4446461</v>
      </c>
      <c r="D19" s="8">
        <v>4839816</v>
      </c>
      <c r="E19" s="8">
        <v>5357521</v>
      </c>
      <c r="F19" s="27">
        <f>E19*(1+F20)</f>
        <v>5973463.9896000363</v>
      </c>
      <c r="G19" s="27">
        <f t="shared" ref="G19:J19" si="6">F19*(1+G20)</f>
        <v>6630353.3371522492</v>
      </c>
      <c r="H19" s="27">
        <f t="shared" si="6"/>
        <v>7326327.6663574921</v>
      </c>
      <c r="I19" s="27">
        <f t="shared" si="6"/>
        <v>8058725.3276498728</v>
      </c>
      <c r="J19" s="27">
        <f t="shared" si="6"/>
        <v>8824045.625443548</v>
      </c>
    </row>
    <row r="20" spans="2:12" x14ac:dyDescent="0.3">
      <c r="B20" s="29" t="s">
        <v>47</v>
      </c>
      <c r="C20" s="25" t="s">
        <v>65</v>
      </c>
      <c r="D20" s="21">
        <f>D19/C19-1</f>
        <v>8.846473633750529E-2</v>
      </c>
      <c r="E20" s="21">
        <f>E19/D19-1</f>
        <v>0.10696790952383317</v>
      </c>
      <c r="F20" s="21">
        <f>E20+0.8%</f>
        <v>0.11496790952383318</v>
      </c>
      <c r="G20" s="21">
        <f t="shared" ref="G20:J20" si="7">F20-0.5%</f>
        <v>0.10996790952383317</v>
      </c>
      <c r="H20" s="21">
        <f t="shared" si="7"/>
        <v>0.10496790952383317</v>
      </c>
      <c r="I20" s="21">
        <f t="shared" si="7"/>
        <v>9.9967909523833165E-2</v>
      </c>
      <c r="J20" s="21">
        <f t="shared" si="7"/>
        <v>9.4967909523833161E-2</v>
      </c>
    </row>
    <row r="22" spans="2:12" x14ac:dyDescent="0.3">
      <c r="B22" s="20" t="s">
        <v>50</v>
      </c>
      <c r="C22" s="19"/>
      <c r="D22" s="19"/>
      <c r="E22" s="19"/>
      <c r="F22" s="19"/>
      <c r="G22" s="19"/>
      <c r="H22" s="19"/>
      <c r="I22" s="19"/>
      <c r="J22" s="19"/>
    </row>
    <row r="23" spans="2:12" x14ac:dyDescent="0.3">
      <c r="B23" t="s">
        <v>46</v>
      </c>
      <c r="C23" s="8">
        <v>3763727</v>
      </c>
      <c r="D23" s="8">
        <v>4414746</v>
      </c>
      <c r="E23" s="8">
        <v>5353717</v>
      </c>
      <c r="F23" s="27">
        <f>E23*(1+F24)</f>
        <v>6386078.5233739736</v>
      </c>
      <c r="G23" s="27">
        <f t="shared" ref="G23:J23" si="8">F23*(1+G24)</f>
        <v>7489789.5730424058</v>
      </c>
      <c r="H23" s="27">
        <f t="shared" si="8"/>
        <v>8634460.0931374654</v>
      </c>
      <c r="I23" s="27">
        <f t="shared" si="8"/>
        <v>9781382.3208301272</v>
      </c>
      <c r="J23" s="27">
        <f t="shared" si="8"/>
        <v>10885023.497282529</v>
      </c>
      <c r="L23" s="8"/>
    </row>
    <row r="24" spans="2:12" x14ac:dyDescent="0.3">
      <c r="B24" s="29" t="s">
        <v>47</v>
      </c>
      <c r="C24" s="25" t="s">
        <v>65</v>
      </c>
      <c r="D24" s="21">
        <f>D23/C23-1</f>
        <v>0.17297189727097639</v>
      </c>
      <c r="E24" s="21">
        <f>E23/D23-1</f>
        <v>0.2126896994753491</v>
      </c>
      <c r="F24" s="21">
        <f>AVERAGE(D24:E24)</f>
        <v>0.19283079837316275</v>
      </c>
      <c r="G24" s="21">
        <f>F24-2%</f>
        <v>0.17283079837316276</v>
      </c>
      <c r="H24" s="21">
        <f t="shared" ref="H24:J24" si="9">G24-2%</f>
        <v>0.15283079837316277</v>
      </c>
      <c r="I24" s="21">
        <f t="shared" si="9"/>
        <v>0.13283079837316278</v>
      </c>
      <c r="J24" s="21">
        <f t="shared" si="9"/>
        <v>0.11283079837316277</v>
      </c>
    </row>
    <row r="26" spans="2:12" x14ac:dyDescent="0.3">
      <c r="B26" s="59" t="s">
        <v>51</v>
      </c>
      <c r="C26" s="47"/>
      <c r="D26" s="47"/>
      <c r="E26" s="47"/>
      <c r="F26" s="47"/>
      <c r="G26" s="47"/>
      <c r="H26" s="47"/>
      <c r="I26" s="47"/>
      <c r="J26" s="47"/>
    </row>
    <row r="27" spans="2:12" ht="15" thickBot="1" x14ac:dyDescent="0.35">
      <c r="B27" s="60" t="s">
        <v>52</v>
      </c>
      <c r="C27" s="48">
        <f>C11+C15+C19+C23</f>
        <v>33640458</v>
      </c>
      <c r="D27" s="48">
        <f t="shared" ref="D27:J27" si="10">D11+D15+D19+D23</f>
        <v>39000966</v>
      </c>
      <c r="E27" s="48">
        <f t="shared" si="10"/>
        <v>45183036</v>
      </c>
      <c r="F27" s="48">
        <f t="shared" si="10"/>
        <v>51911775.797133163</v>
      </c>
      <c r="G27" s="48">
        <f t="shared" si="10"/>
        <v>58991863.921087764</v>
      </c>
      <c r="H27" s="48">
        <f t="shared" si="10"/>
        <v>66290258.196650147</v>
      </c>
      <c r="I27" s="48">
        <f t="shared" si="10"/>
        <v>73394191.82420294</v>
      </c>
      <c r="J27" s="48">
        <f t="shared" si="10"/>
        <v>80043317.085738868</v>
      </c>
    </row>
    <row r="28" spans="2:12" x14ac:dyDescent="0.3">
      <c r="B28" s="30" t="s">
        <v>53</v>
      </c>
      <c r="C28" s="25" t="s">
        <v>65</v>
      </c>
      <c r="D28" s="21">
        <f>D27/C27-1</f>
        <v>0.15934705764112955</v>
      </c>
      <c r="E28" s="21">
        <f>E27/D27-1</f>
        <v>0.15851068919677536</v>
      </c>
      <c r="F28" s="21">
        <f>F27/E27-1</f>
        <v>0.14892181652275793</v>
      </c>
      <c r="G28" s="21">
        <f t="shared" ref="G28:J28" si="11">G27/F27-1</f>
        <v>0.13638693755387954</v>
      </c>
      <c r="H28" s="21">
        <f t="shared" si="11"/>
        <v>0.12371865864969611</v>
      </c>
      <c r="I28" s="21">
        <f t="shared" si="11"/>
        <v>0.10716406634710895</v>
      </c>
      <c r="J28" s="21">
        <f t="shared" si="11"/>
        <v>9.0594706423938964E-2</v>
      </c>
    </row>
    <row r="30" spans="2:12" x14ac:dyDescent="0.3">
      <c r="B30" s="20" t="s">
        <v>54</v>
      </c>
      <c r="C30" s="19"/>
      <c r="D30" s="19"/>
      <c r="E30" s="19"/>
      <c r="F30" s="19"/>
      <c r="G30" s="19"/>
      <c r="H30" s="19"/>
      <c r="I30" s="19"/>
      <c r="J30" s="19"/>
    </row>
    <row r="31" spans="2:12" x14ac:dyDescent="0.3">
      <c r="B31" t="s">
        <v>55</v>
      </c>
      <c r="C31" s="21">
        <f>C$11/C$27</f>
        <v>0.44213972948881969</v>
      </c>
      <c r="D31" s="21">
        <f t="shared" ref="D31:J31" si="12">D$11/D$27</f>
        <v>0.44510100083162041</v>
      </c>
      <c r="E31" s="21">
        <f t="shared" si="12"/>
        <v>0.44169568419439542</v>
      </c>
      <c r="F31" s="21">
        <f t="shared" si="12"/>
        <v>0.44043682377765808</v>
      </c>
      <c r="G31" s="21">
        <f t="shared" si="12"/>
        <v>0.4382122820719575</v>
      </c>
      <c r="H31" s="21">
        <f t="shared" si="12"/>
        <v>0.43506473183152283</v>
      </c>
      <c r="I31" s="21">
        <f t="shared" si="12"/>
        <v>0.43053917730001917</v>
      </c>
      <c r="J31" s="21">
        <f t="shared" si="12"/>
        <v>0.42463832650742489</v>
      </c>
    </row>
    <row r="32" spans="2:12" x14ac:dyDescent="0.3">
      <c r="B32" t="s">
        <v>56</v>
      </c>
      <c r="C32" s="21">
        <f>C$15/C$27</f>
        <v>0.31380330790977934</v>
      </c>
      <c r="D32" s="21">
        <f t="shared" ref="D32:J32" si="13">D$15/D$27</f>
        <v>0.31760841513515331</v>
      </c>
      <c r="E32" s="21">
        <f t="shared" si="13"/>
        <v>0.32124105161946176</v>
      </c>
      <c r="F32" s="21">
        <f t="shared" si="13"/>
        <v>0.32147572259189655</v>
      </c>
      <c r="G32" s="21">
        <f t="shared" si="13"/>
        <v>0.32243025451439467</v>
      </c>
      <c r="H32" s="21">
        <f t="shared" si="13"/>
        <v>0.32416402675699774</v>
      </c>
      <c r="I32" s="21">
        <f t="shared" si="13"/>
        <v>0.32638835054562526</v>
      </c>
      <c r="J32" s="21">
        <f t="shared" si="13"/>
        <v>0.32913163405512158</v>
      </c>
    </row>
    <row r="33" spans="2:10" x14ac:dyDescent="0.3">
      <c r="B33" t="s">
        <v>57</v>
      </c>
      <c r="C33" s="21">
        <f>C$19/C$27</f>
        <v>0.13217599475013092</v>
      </c>
      <c r="D33" s="21">
        <f t="shared" ref="D33:J33" si="14">D$19/D$27</f>
        <v>0.12409477242179079</v>
      </c>
      <c r="E33" s="21">
        <f t="shared" si="14"/>
        <v>0.11857372753791932</v>
      </c>
      <c r="F33" s="21">
        <f t="shared" si="14"/>
        <v>0.11506953668747201</v>
      </c>
      <c r="G33" s="21">
        <f t="shared" si="14"/>
        <v>0.11239436926457418</v>
      </c>
      <c r="H33" s="21">
        <f t="shared" si="14"/>
        <v>0.11051891885266053</v>
      </c>
      <c r="I33" s="21">
        <f t="shared" si="14"/>
        <v>0.10980058676785341</v>
      </c>
      <c r="J33" s="21">
        <f t="shared" si="14"/>
        <v>0.11024087889800493</v>
      </c>
    </row>
    <row r="34" spans="2:10" x14ac:dyDescent="0.3">
      <c r="B34" t="s">
        <v>58</v>
      </c>
      <c r="C34" s="21">
        <f>C$23/C$27</f>
        <v>0.11188096785127004</v>
      </c>
      <c r="D34" s="21">
        <f t="shared" ref="D34:J34" si="15">D$23/D$27</f>
        <v>0.11319581161143547</v>
      </c>
      <c r="E34" s="21">
        <f t="shared" si="15"/>
        <v>0.11848953664822347</v>
      </c>
      <c r="F34" s="21">
        <f t="shared" si="15"/>
        <v>0.12301791694297319</v>
      </c>
      <c r="G34" s="21">
        <f t="shared" si="15"/>
        <v>0.12696309414907364</v>
      </c>
      <c r="H34" s="21">
        <f t="shared" si="15"/>
        <v>0.13025232255881894</v>
      </c>
      <c r="I34" s="21">
        <f t="shared" si="15"/>
        <v>0.13327188538650214</v>
      </c>
      <c r="J34" s="21">
        <f t="shared" si="15"/>
        <v>0.13598916053944857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667B-2B3B-475E-A824-E2586146AF13}">
  <dimension ref="B6:L44"/>
  <sheetViews>
    <sheetView showGridLines="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F42" sqref="F42:J42"/>
    </sheetView>
  </sheetViews>
  <sheetFormatPr defaultRowHeight="14.4" x14ac:dyDescent="0.3"/>
  <cols>
    <col min="1" max="1" width="2.33203125" customWidth="1"/>
    <col min="2" max="2" width="40.77734375" customWidth="1"/>
    <col min="3" max="10" width="13.77734375" customWidth="1"/>
  </cols>
  <sheetData>
    <row r="6" spans="2:12" ht="15.6" x14ac:dyDescent="0.3">
      <c r="B6" s="4" t="s">
        <v>66</v>
      </c>
      <c r="C6" s="5"/>
      <c r="D6" s="5"/>
      <c r="E6" s="5"/>
      <c r="F6" s="5"/>
      <c r="G6" s="5"/>
      <c r="H6" s="5"/>
      <c r="I6" s="5"/>
      <c r="J6" s="5"/>
    </row>
    <row r="8" spans="2:12" x14ac:dyDescent="0.3">
      <c r="B8" s="6" t="s">
        <v>40</v>
      </c>
      <c r="C8" s="7">
        <v>2023</v>
      </c>
      <c r="D8" s="7">
        <f>C8+1</f>
        <v>2024</v>
      </c>
      <c r="E8" s="7">
        <f>D8+1</f>
        <v>2025</v>
      </c>
      <c r="F8" s="24">
        <f>E8+1</f>
        <v>2026</v>
      </c>
      <c r="G8" s="24">
        <f t="shared" ref="G8:J8" si="0">F8+1</f>
        <v>2027</v>
      </c>
      <c r="H8" s="24">
        <f t="shared" si="0"/>
        <v>2028</v>
      </c>
      <c r="I8" s="24">
        <f t="shared" si="0"/>
        <v>2029</v>
      </c>
      <c r="J8" s="24">
        <f t="shared" si="0"/>
        <v>2030</v>
      </c>
    </row>
    <row r="10" spans="2:12" x14ac:dyDescent="0.3">
      <c r="B10" s="20" t="s">
        <v>67</v>
      </c>
      <c r="C10" s="19"/>
      <c r="D10" s="19"/>
      <c r="E10" s="19"/>
      <c r="F10" s="19"/>
      <c r="G10" s="19"/>
      <c r="H10" s="19"/>
      <c r="I10" s="19"/>
      <c r="J10" s="19"/>
    </row>
    <row r="11" spans="2:12" x14ac:dyDescent="0.3">
      <c r="B11" s="31" t="s">
        <v>67</v>
      </c>
      <c r="C11" s="8">
        <f>'P&amp;L INPUT'!C10</f>
        <v>19715368</v>
      </c>
      <c r="D11" s="8">
        <f>'P&amp;L INPUT'!D10</f>
        <v>21038464</v>
      </c>
      <c r="E11" s="8">
        <f>'P&amp;L INPUT'!E10</f>
        <v>23275329</v>
      </c>
      <c r="F11" s="27">
        <f>'REVENUE BUILD BY REGION'!F27*'OPERATING ASSUMPTIONS &amp; WORKING'!F12</f>
        <v>26222415.516873494</v>
      </c>
      <c r="G11" s="27">
        <f>'REVENUE BUILD BY REGION'!G27*'OPERATING ASSUMPTIONS &amp; WORKING'!G12</f>
        <v>28913932.50566889</v>
      </c>
      <c r="H11" s="27">
        <f>'REVENUE BUILD BY REGION'!H27*'OPERATING ASSUMPTIONS &amp; WORKING'!H12</f>
        <v>31496771.578608338</v>
      </c>
      <c r="I11" s="27">
        <f>'REVENUE BUILD BY REGION'!I27*'OPERATING ASSUMPTIONS &amp; WORKING'!I12</f>
        <v>33771180.820415013</v>
      </c>
      <c r="J11" s="27">
        <f>'REVENUE BUILD BY REGION'!J27*'OPERATING ASSUMPTIONS &amp; WORKING'!J12</f>
        <v>35630021.276144184</v>
      </c>
    </row>
    <row r="12" spans="2:12" x14ac:dyDescent="0.3">
      <c r="B12" s="44" t="s">
        <v>68</v>
      </c>
      <c r="C12" s="21">
        <f>C11/'REVENUE BUILD BY REGION'!C27</f>
        <v>0.58606122425562701</v>
      </c>
      <c r="D12" s="21">
        <f>D11/'REVENUE BUILD BY REGION'!D27</f>
        <v>0.53943443349582676</v>
      </c>
      <c r="E12" s="21">
        <f>E11/'REVENUE BUILD BY REGION'!E27</f>
        <v>0.51513424197524049</v>
      </c>
      <c r="F12" s="21">
        <f>E12-1%</f>
        <v>0.50513424197524048</v>
      </c>
      <c r="G12" s="21">
        <f>F12-1.5%</f>
        <v>0.49013424197524047</v>
      </c>
      <c r="H12" s="21">
        <f t="shared" ref="H12:J12" si="1">G12-1.5%</f>
        <v>0.47513424197524046</v>
      </c>
      <c r="I12" s="21">
        <f t="shared" si="1"/>
        <v>0.46013424197524044</v>
      </c>
      <c r="J12" s="21">
        <f t="shared" si="1"/>
        <v>0.44513424197524043</v>
      </c>
    </row>
    <row r="13" spans="2:12" x14ac:dyDescent="0.3">
      <c r="F13" s="28"/>
    </row>
    <row r="14" spans="2:12" x14ac:dyDescent="0.3">
      <c r="B14" s="20" t="s">
        <v>69</v>
      </c>
      <c r="C14" s="19"/>
      <c r="D14" s="19"/>
      <c r="E14" s="19"/>
      <c r="F14" s="19"/>
      <c r="G14" s="19"/>
      <c r="H14" s="19"/>
      <c r="I14" s="19"/>
      <c r="J14" s="19"/>
      <c r="L14" s="33"/>
    </row>
    <row r="15" spans="2:12" x14ac:dyDescent="0.3">
      <c r="B15" s="31" t="s">
        <v>69</v>
      </c>
      <c r="C15" s="8">
        <f>'P&amp;L INPUT'!C11</f>
        <v>2657883</v>
      </c>
      <c r="D15" s="8">
        <f>'P&amp;L INPUT'!D11</f>
        <v>2917554</v>
      </c>
      <c r="E15" s="8">
        <f>'P&amp;L INPUT'!E11</f>
        <v>3301306</v>
      </c>
      <c r="F15" s="27">
        <f>'REVENUE BUILD BY REGION'!F27*'OPERATING ASSUMPTIONS &amp; WORKING'!F16</f>
        <v>3735839.5330406334</v>
      </c>
      <c r="G15" s="27">
        <f>'REVENUE BUILD BY REGION'!G27*'OPERATING ASSUMPTIONS &amp; WORKING'!G16</f>
        <v>4068383.6543814978</v>
      </c>
      <c r="H15" s="27">
        <f>'REVENUE BUILD BY REGION'!H27*'OPERATING ASSUMPTIONS &amp; WORKING'!H16</f>
        <v>4372847.8483839752</v>
      </c>
      <c r="I15" s="27">
        <f>'REVENUE BUILD BY REGION'!I27*'OPERATING ASSUMPTIONS &amp; WORKING'!I16</f>
        <v>4621277.4298613984</v>
      </c>
      <c r="J15" s="27">
        <f>'REVENUE BUILD BY REGION'!J27*'OPERATING ASSUMPTIONS &amp; WORKING'!J16</f>
        <v>4799810.7506660502</v>
      </c>
    </row>
    <row r="16" spans="2:12" x14ac:dyDescent="0.3">
      <c r="B16" s="44" t="s">
        <v>68</v>
      </c>
      <c r="C16" s="21">
        <f>C15/'REVENUE BUILD BY REGION'!C27</f>
        <v>7.9008525983802008E-2</v>
      </c>
      <c r="D16" s="21">
        <f>D15/'REVENUE BUILD BY REGION'!D27</f>
        <v>7.4807224005682321E-2</v>
      </c>
      <c r="E16" s="21">
        <f>E15/'REVENUE BUILD BY REGION'!E27</f>
        <v>7.3065165430671819E-2</v>
      </c>
      <c r="F16" s="21">
        <f>E16-0.11%</f>
        <v>7.1965165430671815E-2</v>
      </c>
      <c r="G16" s="21">
        <f>F16-0.3%</f>
        <v>6.8965165430671813E-2</v>
      </c>
      <c r="H16" s="21">
        <f t="shared" ref="H16:J16" si="2">G16-0.3%</f>
        <v>6.596516543067181E-2</v>
      </c>
      <c r="I16" s="21">
        <f t="shared" si="2"/>
        <v>6.2965165430671807E-2</v>
      </c>
      <c r="J16" s="21">
        <f t="shared" si="2"/>
        <v>5.9965165430671805E-2</v>
      </c>
    </row>
    <row r="18" spans="2:10" x14ac:dyDescent="0.3">
      <c r="B18" s="20" t="s">
        <v>70</v>
      </c>
      <c r="C18" s="19"/>
      <c r="D18" s="19"/>
      <c r="E18" s="19"/>
      <c r="F18" s="19"/>
      <c r="G18" s="19"/>
      <c r="H18" s="19"/>
      <c r="I18" s="19"/>
      <c r="J18" s="19"/>
    </row>
    <row r="19" spans="2:10" x14ac:dyDescent="0.3">
      <c r="B19" s="31" t="s">
        <v>71</v>
      </c>
      <c r="C19" s="8">
        <f>'P&amp;L INPUT'!C12</f>
        <v>2675758</v>
      </c>
      <c r="D19" s="8">
        <f>'P&amp;L INPUT'!D12</f>
        <v>2925295</v>
      </c>
      <c r="E19" s="8">
        <f>'P&amp;L INPUT'!E12</f>
        <v>3391390</v>
      </c>
      <c r="F19" s="27">
        <f>'REVENUE BUILD BY REGION'!F27*'OPERATING ASSUMPTIONS &amp; WORKING'!F20</f>
        <v>3865294.893858836</v>
      </c>
      <c r="G19" s="27">
        <f>'REVENUE BUILD BY REGION'!G27*'OPERATING ASSUMPTIONS &amp; WORKING'!G20</f>
        <v>4357075.5088222381</v>
      </c>
      <c r="H19" s="27">
        <f>'REVENUE BUILD BY REGION'!H27*'OPERATING ASSUMPTIONS &amp; WORKING'!H20</f>
        <v>4856352.8914911775</v>
      </c>
      <c r="I19" s="27">
        <f>'REVENUE BUILD BY REGION'!I27*'OPERATING ASSUMPTIONS &amp; WORKING'!I20</f>
        <v>5332742.8998653898</v>
      </c>
      <c r="J19" s="27">
        <f>'REVENUE BUILD BY REGION'!J27*'OPERATING ASSUMPTIONS &amp; WORKING'!J20</f>
        <v>5767835.1870615957</v>
      </c>
    </row>
    <row r="20" spans="2:10" x14ac:dyDescent="0.3">
      <c r="B20" s="44" t="s">
        <v>68</v>
      </c>
      <c r="C20" s="21">
        <f>C19/'REVENUE BUILD BY REGION'!C27</f>
        <v>7.953988022398506E-2</v>
      </c>
      <c r="D20" s="21">
        <f>D19/'REVENUE BUILD BY REGION'!D27</f>
        <v>7.5005706268916519E-2</v>
      </c>
      <c r="E20" s="21">
        <f>E19/'REVENUE BUILD BY REGION'!E27</f>
        <v>7.5058922556686988E-2</v>
      </c>
      <c r="F20" s="21">
        <f>E20-0.06%</f>
        <v>7.4458922556686985E-2</v>
      </c>
      <c r="G20" s="21">
        <f t="shared" ref="G20:J20" si="3">F20-0.06%</f>
        <v>7.3858922556686982E-2</v>
      </c>
      <c r="H20" s="21">
        <f t="shared" si="3"/>
        <v>7.3258922556686978E-2</v>
      </c>
      <c r="I20" s="21">
        <f t="shared" si="3"/>
        <v>7.2658922556686975E-2</v>
      </c>
      <c r="J20" s="21">
        <f t="shared" si="3"/>
        <v>7.2058922556686972E-2</v>
      </c>
    </row>
    <row r="22" spans="2:10" x14ac:dyDescent="0.3">
      <c r="B22" s="20" t="s">
        <v>72</v>
      </c>
      <c r="C22" s="19"/>
      <c r="D22" s="19"/>
      <c r="E22" s="19"/>
      <c r="F22" s="19"/>
      <c r="G22" s="19"/>
      <c r="H22" s="19"/>
      <c r="I22" s="19"/>
      <c r="J22" s="19"/>
    </row>
    <row r="23" spans="2:10" x14ac:dyDescent="0.3">
      <c r="B23" s="31" t="s">
        <v>73</v>
      </c>
      <c r="C23" s="8">
        <f>'P&amp;L INPUT'!C13</f>
        <v>1720285</v>
      </c>
      <c r="D23" s="8">
        <f>'P&amp;L INPUT'!D13</f>
        <v>1702039</v>
      </c>
      <c r="E23" s="8">
        <f>'P&amp;L INPUT'!E13</f>
        <v>1888408</v>
      </c>
      <c r="F23" s="27">
        <f>'REVENUE BUILD BY REGION'!F27*'OPERATING ASSUMPTIONS &amp; WORKING'!F24</f>
        <v>2076191.9532612683</v>
      </c>
      <c r="G23" s="27">
        <f>'REVENUE BUILD BY REGION'!G27*'OPERATING ASSUMPTIONS &amp; WORKING'!G24</f>
        <v>2300365.5516194925</v>
      </c>
      <c r="H23" s="27">
        <f>'REVENUE BUILD BY REGION'!H27*'OPERATING ASSUMPTIONS &amp; WORKING'!H24</f>
        <v>2518673.4338731742</v>
      </c>
      <c r="I23" s="27">
        <f>'REVENUE BUILD BY REGION'!I27*'OPERATING ASSUMPTIONS &amp; WORKING'!I24</f>
        <v>2715190.5290232566</v>
      </c>
      <c r="J23" s="27">
        <f>'REVENUE BUILD BY REGION'!J27*'OPERATING ASSUMPTIONS &amp; WORKING'!J24</f>
        <v>2881129.100799439</v>
      </c>
    </row>
    <row r="24" spans="2:10" x14ac:dyDescent="0.3">
      <c r="B24" s="44" t="s">
        <v>68</v>
      </c>
      <c r="C24" s="21">
        <f>C23/'REVENUE BUILD BY REGION'!C27</f>
        <v>5.1137383444660595E-2</v>
      </c>
      <c r="D24" s="21">
        <f>D23/'REVENUE BUILD BY REGION'!D27</f>
        <v>4.3640944688395668E-2</v>
      </c>
      <c r="E24" s="21">
        <f>E23/'REVENUE BUILD BY REGION'!E27</f>
        <v>4.1794623982328236E-2</v>
      </c>
      <c r="F24" s="21">
        <f>E24-0.18%</f>
        <v>3.9994623982328233E-2</v>
      </c>
      <c r="G24" s="21">
        <f>F24-0.1%</f>
        <v>3.8994623982328232E-2</v>
      </c>
      <c r="H24" s="21">
        <f t="shared" ref="H24:J24" si="4">G24-0.1%</f>
        <v>3.7994623982328231E-2</v>
      </c>
      <c r="I24" s="21">
        <f t="shared" si="4"/>
        <v>3.699462398232823E-2</v>
      </c>
      <c r="J24" s="21">
        <f t="shared" si="4"/>
        <v>3.5994623982328229E-2</v>
      </c>
    </row>
    <row r="25" spans="2:10" x14ac:dyDescent="0.3">
      <c r="F25" s="28"/>
    </row>
    <row r="26" spans="2:10" x14ac:dyDescent="0.3">
      <c r="B26" s="20" t="s">
        <v>74</v>
      </c>
      <c r="C26" s="19"/>
      <c r="D26" s="19"/>
      <c r="E26" s="19"/>
      <c r="F26" s="19"/>
      <c r="G26" s="19"/>
      <c r="H26" s="19"/>
      <c r="I26" s="19"/>
      <c r="J26" s="19"/>
    </row>
    <row r="27" spans="2:10" x14ac:dyDescent="0.3">
      <c r="B27" s="31" t="s">
        <v>75</v>
      </c>
      <c r="C27" s="8">
        <f>'BALANCE SHEET INPUT'!C13</f>
        <v>2780247</v>
      </c>
      <c r="D27" s="8">
        <f>'BALANCE SHEET INPUT'!D13</f>
        <v>3516640</v>
      </c>
      <c r="E27" s="8">
        <f>'BALANCE SHEET INPUT'!E13</f>
        <v>3957832</v>
      </c>
      <c r="F27" s="27">
        <f>'REVENUE BUILD BY REGION'!F27*'OPERATING ASSUMPTIONS &amp; WORKING'!F28</f>
        <v>4506106.2705881307</v>
      </c>
      <c r="G27" s="27">
        <f>'REVENUE BUILD BY REGION'!G27*'OPERATING ASSUMPTIONS &amp; WORKING'!G28</f>
        <v>5202427.8846328268</v>
      </c>
      <c r="H27" s="27">
        <f>'REVENUE BUILD BY REGION'!H27*'OPERATING ASSUMPTIONS &amp; WORKING'!H28</f>
        <v>5802333.2033471959</v>
      </c>
      <c r="I27" s="27">
        <f>'REVENUE BUILD BY REGION'!I27*'OPERATING ASSUMPTIONS &amp; WORKING'!I28</f>
        <v>6422512.0464811828</v>
      </c>
      <c r="J27" s="27">
        <f>'REVENUE BUILD BY REGION'!J27*'OPERATING ASSUMPTIONS &amp; WORKING'!J28</f>
        <v>7023139.1867877999</v>
      </c>
    </row>
    <row r="28" spans="2:10" x14ac:dyDescent="0.3">
      <c r="B28" s="44" t="s">
        <v>68</v>
      </c>
      <c r="C28" s="21">
        <f>C27/'REVENUE BUILD BY REGION'!C27</f>
        <v>8.2645931871676653E-2</v>
      </c>
      <c r="D28" s="21">
        <f>D27/'REVENUE BUILD BY REGION'!D27</f>
        <v>9.0168023017686283E-2</v>
      </c>
      <c r="E28" s="21">
        <f>E27/'REVENUE BUILD BY REGION'!E27</f>
        <v>8.7595530322486514E-2</v>
      </c>
      <c r="F28" s="21">
        <f>AVERAGE(C28:E28)</f>
        <v>8.6803161737283155E-2</v>
      </c>
      <c r="G28" s="21">
        <f t="shared" ref="G28:J28" si="5">AVERAGE(D28:F28)</f>
        <v>8.8188905025818651E-2</v>
      </c>
      <c r="H28" s="21">
        <f t="shared" si="5"/>
        <v>8.7529199028529445E-2</v>
      </c>
      <c r="I28" s="21">
        <f t="shared" si="5"/>
        <v>8.7507088597210417E-2</v>
      </c>
      <c r="J28" s="21">
        <f t="shared" si="5"/>
        <v>8.7741730883852842E-2</v>
      </c>
    </row>
    <row r="30" spans="2:10" x14ac:dyDescent="0.3">
      <c r="B30" s="20" t="s">
        <v>76</v>
      </c>
      <c r="C30" s="19"/>
      <c r="D30" s="19"/>
      <c r="E30" s="19"/>
      <c r="F30" s="19"/>
      <c r="G30" s="19"/>
      <c r="H30" s="19"/>
      <c r="I30" s="19"/>
      <c r="J30" s="19"/>
    </row>
    <row r="31" spans="2:10" x14ac:dyDescent="0.3">
      <c r="B31" t="s">
        <v>77</v>
      </c>
      <c r="C31" s="8">
        <f>'BALANCE SHEET INPUT'!C23</f>
        <v>747412</v>
      </c>
      <c r="D31" s="8">
        <f>'BALANCE SHEET INPUT'!D23</f>
        <v>899909</v>
      </c>
      <c r="E31" s="8">
        <f>'BALANCE SHEET INPUT'!E23</f>
        <v>900612</v>
      </c>
      <c r="F31" s="27">
        <f>(F32*F11)/365</f>
        <v>1043463.6059691503</v>
      </c>
      <c r="G31" s="27">
        <f t="shared" ref="G31:J31" si="6">(G32*G11)/365</f>
        <v>1168711.9412690455</v>
      </c>
      <c r="H31" s="27">
        <f t="shared" si="6"/>
        <v>1248395.8503330485</v>
      </c>
      <c r="I31" s="27">
        <f t="shared" si="6"/>
        <v>1349145.8405416592</v>
      </c>
      <c r="J31" s="27">
        <f t="shared" si="6"/>
        <v>1425268.1880990285</v>
      </c>
    </row>
    <row r="32" spans="2:10" x14ac:dyDescent="0.3">
      <c r="B32" s="29" t="s">
        <v>78</v>
      </c>
      <c r="C32" s="32">
        <f>(C31/C11)*365</f>
        <v>13.837194416051478</v>
      </c>
      <c r="D32" s="32">
        <f t="shared" ref="D32:E32" si="7">(D31/D11)*365</f>
        <v>15.612678995957118</v>
      </c>
      <c r="E32" s="32">
        <f t="shared" si="7"/>
        <v>14.123253853898262</v>
      </c>
      <c r="F32" s="32">
        <f>AVERAGE(C32:E32)</f>
        <v>14.524375755302287</v>
      </c>
      <c r="G32" s="32">
        <f t="shared" ref="G32:J32" si="8">AVERAGE(D32:F32)</f>
        <v>14.753436201719223</v>
      </c>
      <c r="H32" s="32">
        <f t="shared" si="8"/>
        <v>14.467021936973259</v>
      </c>
      <c r="I32" s="32">
        <f t="shared" si="8"/>
        <v>14.581611297998258</v>
      </c>
      <c r="J32" s="32">
        <f t="shared" si="8"/>
        <v>14.600689812230248</v>
      </c>
    </row>
    <row r="33" spans="2:10" x14ac:dyDescent="0.3">
      <c r="B33" t="s">
        <v>123</v>
      </c>
      <c r="C33" s="8">
        <f>'BALANCE SHEET INPUT'!C24</f>
        <v>1803960</v>
      </c>
      <c r="D33" s="8">
        <f>'BALANCE SHEET INPUT'!D24</f>
        <v>2156544</v>
      </c>
      <c r="E33" s="8">
        <f>'BALANCE SHEET INPUT'!E24</f>
        <v>3220869</v>
      </c>
      <c r="F33" s="27">
        <f>'REVENUE BUILD BY REGION'!F27*'OPERATING ASSUMPTIONS &amp; WORKING'!F34</f>
        <v>3700526.662261839</v>
      </c>
      <c r="G33" s="27">
        <f>'REVENUE BUILD BY REGION'!G27*'OPERATING ASSUMPTIONS &amp; WORKING'!G34</f>
        <v>4205230.1610642113</v>
      </c>
      <c r="H33" s="27">
        <f>'REVENUE BUILD BY REGION'!H27*'OPERATING ASSUMPTIONS &amp; WORKING'!H34</f>
        <v>4725495.5959043205</v>
      </c>
      <c r="I33" s="27">
        <f>'REVENUE BUILD BY REGION'!I27*'OPERATING ASSUMPTIONS &amp; WORKING'!I34</f>
        <v>5231898.9194667824</v>
      </c>
      <c r="J33" s="27">
        <f>'REVENUE BUILD BY REGION'!J27*'OPERATING ASSUMPTIONS &amp; WORKING'!J34</f>
        <v>5705881.2661155984</v>
      </c>
    </row>
    <row r="34" spans="2:10" x14ac:dyDescent="0.3">
      <c r="B34" s="44" t="s">
        <v>68</v>
      </c>
      <c r="C34" s="21">
        <f>C33/'REVENUE BUILD BY REGION'!C27</f>
        <v>5.3624715810944072E-2</v>
      </c>
      <c r="D34" s="21">
        <f>D33/'REVENUE BUILD BY REGION'!D27</f>
        <v>5.5294630394539461E-2</v>
      </c>
      <c r="E34" s="21">
        <f>E33/'REVENUE BUILD BY REGION'!E27</f>
        <v>7.1284917640328557E-2</v>
      </c>
      <c r="F34" s="21">
        <f>E34</f>
        <v>7.1284917640328557E-2</v>
      </c>
      <c r="G34" s="21">
        <f t="shared" ref="G34:J34" si="9">F34</f>
        <v>7.1284917640328557E-2</v>
      </c>
      <c r="H34" s="21">
        <f t="shared" si="9"/>
        <v>7.1284917640328557E-2</v>
      </c>
      <c r="I34" s="21">
        <f t="shared" si="9"/>
        <v>7.1284917640328557E-2</v>
      </c>
      <c r="J34" s="21">
        <f t="shared" si="9"/>
        <v>7.1284917640328557E-2</v>
      </c>
    </row>
    <row r="35" spans="2:10" x14ac:dyDescent="0.3">
      <c r="B35" t="s">
        <v>79</v>
      </c>
      <c r="C35" s="8">
        <f>'BALANCE SHEET INPUT'!C25</f>
        <v>1442969</v>
      </c>
      <c r="D35" s="8">
        <f>'BALANCE SHEET INPUT'!D25</f>
        <v>1520813</v>
      </c>
      <c r="E35" s="8">
        <f>'BALANCE SHEET INPUT'!E25</f>
        <v>1775730</v>
      </c>
      <c r="F35" s="27">
        <f>'REVENUE BUILD BY REGION'!F27*'OPERATING ASSUMPTIONS &amp; WORKING'!F36</f>
        <v>2032217.5718321847</v>
      </c>
      <c r="G35" s="27">
        <f>'REVENUE BUILD BY REGION'!G27*'OPERATING ASSUMPTIONS &amp; WORKING'!G36</f>
        <v>2313906.8259588806</v>
      </c>
      <c r="H35" s="27">
        <f>'REVENUE BUILD BY REGION'!H27*'OPERATING ASSUMPTIONS &amp; WORKING'!H36</f>
        <v>2597639.927163993</v>
      </c>
      <c r="I35" s="27">
        <f>'REVENUE BUILD BY REGION'!I27*'OPERATING ASSUMPTIONS &amp; WORKING'!I36</f>
        <v>2877419.8754222579</v>
      </c>
      <c r="J35" s="27">
        <f>'REVENUE BUILD BY REGION'!J27*'OPERATING ASSUMPTIONS &amp; WORKING'!J36</f>
        <v>3137332.0376664898</v>
      </c>
    </row>
    <row r="36" spans="2:10" x14ac:dyDescent="0.3">
      <c r="B36" s="44" t="s">
        <v>68</v>
      </c>
      <c r="C36" s="21">
        <f>C35/'REVENUE BUILD BY REGION'!C27</f>
        <v>4.2893857152598816E-2</v>
      </c>
      <c r="D36" s="21">
        <f>D35/'REVENUE BUILD BY REGION'!D27</f>
        <v>3.899423927089396E-2</v>
      </c>
      <c r="E36" s="21">
        <f>E35/'REVENUE BUILD BY REGION'!E27</f>
        <v>3.9300811924192082E-2</v>
      </c>
      <c r="F36" s="21">
        <f>AVERAGE(D36:E36)</f>
        <v>3.9147525597543018E-2</v>
      </c>
      <c r="G36" s="21">
        <f t="shared" ref="G36:J36" si="10">AVERAGE(E36:F36)</f>
        <v>3.9224168760867553E-2</v>
      </c>
      <c r="H36" s="21">
        <f t="shared" si="10"/>
        <v>3.9185847179205285E-2</v>
      </c>
      <c r="I36" s="21">
        <f t="shared" si="10"/>
        <v>3.9205007970036419E-2</v>
      </c>
      <c r="J36" s="21">
        <f t="shared" si="10"/>
        <v>3.9195427574620856E-2</v>
      </c>
    </row>
    <row r="38" spans="2:10" x14ac:dyDescent="0.3">
      <c r="B38" s="20" t="s">
        <v>133</v>
      </c>
      <c r="C38" s="19"/>
      <c r="D38" s="19"/>
      <c r="E38" s="19"/>
      <c r="F38" s="19"/>
      <c r="G38" s="19"/>
      <c r="H38" s="19"/>
      <c r="I38" s="19"/>
      <c r="J38" s="19"/>
    </row>
    <row r="39" spans="2:10" x14ac:dyDescent="0.3">
      <c r="B39" s="31" t="s">
        <v>134</v>
      </c>
      <c r="C39" s="8">
        <v>339368</v>
      </c>
      <c r="D39" s="8">
        <v>272588</v>
      </c>
      <c r="E39" s="8">
        <v>368449</v>
      </c>
      <c r="F39" s="27">
        <f>'FORECASTED P&amp;L '!F11*'OPERATING ASSUMPTIONS &amp; WORKING'!F40</f>
        <v>436182.81388325017</v>
      </c>
      <c r="G39" s="27">
        <f>'FORECASTED P&amp;L '!G11*'OPERATING ASSUMPTIONS &amp; WORKING'!G40</f>
        <v>495672.45208242052</v>
      </c>
      <c r="H39" s="27">
        <f>'FORECASTED P&amp;L '!H11*'OPERATING ASSUMPTIONS &amp; WORKING'!H40</f>
        <v>556996.38298366335</v>
      </c>
      <c r="I39" s="27">
        <f>'FORECASTED P&amp;L '!I11*'OPERATING ASSUMPTIONS &amp; WORKING'!I40</f>
        <v>616686.38032482436</v>
      </c>
      <c r="J39" s="27">
        <f>'FORECASTED P&amp;L '!J11*'OPERATING ASSUMPTIONS &amp; WORKING'!J40</f>
        <v>672554.90190599335</v>
      </c>
    </row>
    <row r="40" spans="2:10" x14ac:dyDescent="0.3">
      <c r="B40" s="44" t="s">
        <v>68</v>
      </c>
      <c r="C40" s="21">
        <f>C39/'FORECASTED P&amp;L '!C11</f>
        <v>1.006331023920941E-2</v>
      </c>
      <c r="D40" s="21">
        <f>D39/'FORECASTED P&amp;L '!D11</f>
        <v>6.9892627787732234E-3</v>
      </c>
      <c r="E40" s="21">
        <f>E39/'FORECASTED P&amp;L '!E11</f>
        <v>8.1545870445713306E-3</v>
      </c>
      <c r="F40" s="21">
        <f>AVERAGE($C$40:$E$40)</f>
        <v>8.4023866875179883E-3</v>
      </c>
      <c r="G40" s="21">
        <f t="shared" ref="G40:J40" si="11">AVERAGE($C$40:$E$40)</f>
        <v>8.4023866875179883E-3</v>
      </c>
      <c r="H40" s="21">
        <f t="shared" si="11"/>
        <v>8.4023866875179883E-3</v>
      </c>
      <c r="I40" s="21">
        <f t="shared" si="11"/>
        <v>8.4023866875179883E-3</v>
      </c>
      <c r="J40" s="21">
        <f t="shared" si="11"/>
        <v>8.4023866875179883E-3</v>
      </c>
    </row>
    <row r="44" spans="2:10" x14ac:dyDescent="0.3">
      <c r="F44" s="73"/>
      <c r="G44" s="73"/>
      <c r="H44" s="73"/>
      <c r="I44" s="73"/>
      <c r="J44" s="7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0B1D-32C1-4782-A914-7AD50AA854A9}">
  <dimension ref="B6:K50"/>
  <sheetViews>
    <sheetView showGridLines="0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G23" sqref="G23"/>
    </sheetView>
  </sheetViews>
  <sheetFormatPr defaultRowHeight="14.4" x14ac:dyDescent="0.3"/>
  <cols>
    <col min="1" max="1" width="2.33203125" customWidth="1"/>
    <col min="2" max="2" width="40.77734375" customWidth="1"/>
    <col min="3" max="10" width="13.77734375" customWidth="1"/>
    <col min="11" max="11" width="17.6640625" bestFit="1" customWidth="1"/>
  </cols>
  <sheetData>
    <row r="6" spans="2:11" ht="15.6" x14ac:dyDescent="0.3">
      <c r="B6" s="4" t="s">
        <v>81</v>
      </c>
      <c r="C6" s="5"/>
      <c r="D6" s="5"/>
      <c r="E6" s="5"/>
      <c r="F6" s="5"/>
      <c r="G6" s="5"/>
      <c r="H6" s="5"/>
      <c r="I6" s="5"/>
      <c r="J6" s="5"/>
    </row>
    <row r="8" spans="2:11" x14ac:dyDescent="0.3">
      <c r="B8" s="6" t="s">
        <v>40</v>
      </c>
      <c r="C8" s="7">
        <v>2023</v>
      </c>
      <c r="D8" s="7">
        <f>C8+1</f>
        <v>2024</v>
      </c>
      <c r="E8" s="7">
        <f>D8+1</f>
        <v>2025</v>
      </c>
      <c r="F8" s="24">
        <f>E8+1</f>
        <v>2026</v>
      </c>
      <c r="G8" s="24">
        <f t="shared" ref="G8:J8" si="0">F8+1</f>
        <v>2027</v>
      </c>
      <c r="H8" s="24">
        <f t="shared" si="0"/>
        <v>2028</v>
      </c>
      <c r="I8" s="24">
        <f t="shared" si="0"/>
        <v>2029</v>
      </c>
      <c r="J8" s="24">
        <f t="shared" si="0"/>
        <v>2030</v>
      </c>
    </row>
    <row r="10" spans="2:11" x14ac:dyDescent="0.3">
      <c r="B10" s="20" t="s">
        <v>80</v>
      </c>
      <c r="C10" s="19"/>
      <c r="D10" s="19"/>
      <c r="E10" s="19"/>
      <c r="F10" s="19"/>
      <c r="G10" s="19"/>
      <c r="H10" s="19"/>
      <c r="I10" s="19"/>
      <c r="J10" s="19"/>
    </row>
    <row r="11" spans="2:11" x14ac:dyDescent="0.3">
      <c r="B11" t="s">
        <v>82</v>
      </c>
      <c r="C11" s="8">
        <v>1398257</v>
      </c>
      <c r="D11" s="8">
        <f>C16</f>
        <v>1491444</v>
      </c>
      <c r="E11" s="8">
        <f t="shared" ref="E11:F11" si="1">D16</f>
        <v>1593756</v>
      </c>
      <c r="F11" s="35">
        <f t="shared" si="1"/>
        <v>2004350</v>
      </c>
      <c r="G11" s="35">
        <f t="shared" ref="G11" si="2">F16</f>
        <v>2675696.0982924467</v>
      </c>
      <c r="H11" s="35">
        <f t="shared" ref="H11" si="3">G16</f>
        <v>3553085.3888084292</v>
      </c>
      <c r="I11" s="35">
        <f t="shared" ref="I11" si="4">H16</f>
        <v>4662796.5680664675</v>
      </c>
      <c r="J11" s="35">
        <f t="shared" ref="J11" si="5">I16</f>
        <v>6022604.5881230589</v>
      </c>
    </row>
    <row r="12" spans="2:11" x14ac:dyDescent="0.3">
      <c r="B12" t="s">
        <v>83</v>
      </c>
      <c r="C12" s="8">
        <v>348552</v>
      </c>
      <c r="D12" s="8">
        <v>439538</v>
      </c>
      <c r="E12" s="8">
        <v>688220</v>
      </c>
      <c r="F12" s="35">
        <f>F13*'REVENUE BUILD BY REGION'!F27</f>
        <v>920490.41206012538</v>
      </c>
      <c r="G12" s="35">
        <f>G13*'REVENUE BUILD BY REGION'!G27</f>
        <v>1193512.9402114339</v>
      </c>
      <c r="H12" s="35">
        <f>H13*'REVENUE BUILD BY REGION'!H27</f>
        <v>1506898.4057470728</v>
      </c>
      <c r="I12" s="35">
        <f>I13*'REVENUE BUILD BY REGION'!I27</f>
        <v>1851869.246039412</v>
      </c>
      <c r="J12" s="35">
        <f>J13*'REVENUE BUILD BY REGION'!J27</f>
        <v>2219747.0894342209</v>
      </c>
    </row>
    <row r="13" spans="2:11" x14ac:dyDescent="0.3">
      <c r="B13" s="29" t="s">
        <v>87</v>
      </c>
      <c r="C13" s="37">
        <f>C12/'REVENUE BUILD BY REGION'!C27</f>
        <v>1.0361095559400528E-2</v>
      </c>
      <c r="D13" s="37">
        <f>D12/'REVENUE BUILD BY REGION'!D27</f>
        <v>1.1269925980807758E-2</v>
      </c>
      <c r="E13" s="37">
        <f>E12/'REVENUE BUILD BY REGION'!E27</f>
        <v>1.5231822846078781E-2</v>
      </c>
      <c r="F13" s="37">
        <f>E13+0.25%</f>
        <v>1.7731822846078781E-2</v>
      </c>
      <c r="G13" s="37">
        <f t="shared" ref="G13:J13" si="6">F13+0.25%</f>
        <v>2.023182284607878E-2</v>
      </c>
      <c r="H13" s="37">
        <f t="shared" si="6"/>
        <v>2.2731822846078779E-2</v>
      </c>
      <c r="I13" s="37">
        <f t="shared" si="6"/>
        <v>2.5231822846078777E-2</v>
      </c>
      <c r="J13" s="37">
        <f t="shared" si="6"/>
        <v>2.7731822846078776E-2</v>
      </c>
    </row>
    <row r="14" spans="2:11" x14ac:dyDescent="0.3">
      <c r="B14" t="s">
        <v>84</v>
      </c>
      <c r="C14" s="8">
        <v>356947</v>
      </c>
      <c r="D14" s="8">
        <v>328914</v>
      </c>
      <c r="E14" s="8">
        <v>333389</v>
      </c>
      <c r="F14" s="35">
        <f>AVERAGE(F11:F12)/F18</f>
        <v>249144.31376767834</v>
      </c>
      <c r="G14" s="35">
        <f t="shared" ref="G14:J14" si="7">AVERAGE(G11:G12)/G18</f>
        <v>316123.64969545125</v>
      </c>
      <c r="H14" s="35">
        <f t="shared" si="7"/>
        <v>397187.22648903442</v>
      </c>
      <c r="I14" s="35">
        <f t="shared" si="7"/>
        <v>492061.22598282091</v>
      </c>
      <c r="J14" s="35">
        <f t="shared" si="7"/>
        <v>599899.98296399345</v>
      </c>
    </row>
    <row r="15" spans="2:11" x14ac:dyDescent="0.3">
      <c r="B15" t="s">
        <v>86</v>
      </c>
      <c r="C15" s="27">
        <f>C16-(C11+C12-C14)</f>
        <v>101582</v>
      </c>
      <c r="D15" s="27">
        <f t="shared" ref="D15:E15" si="8">D16-(D11+D12-D14)</f>
        <v>-8312</v>
      </c>
      <c r="E15" s="27">
        <f t="shared" si="8"/>
        <v>55763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36"/>
    </row>
    <row r="16" spans="2:11" ht="15" thickBot="1" x14ac:dyDescent="0.35">
      <c r="B16" s="61" t="s">
        <v>85</v>
      </c>
      <c r="C16" s="62">
        <f>'BALANCE SHEET INPUT'!C16</f>
        <v>1491444</v>
      </c>
      <c r="D16" s="62">
        <f>'BALANCE SHEET INPUT'!D16</f>
        <v>1593756</v>
      </c>
      <c r="E16" s="62">
        <f>'BALANCE SHEET INPUT'!E16</f>
        <v>2004350</v>
      </c>
      <c r="F16" s="63">
        <f>F11+F12-F14+F15</f>
        <v>2675696.0982924467</v>
      </c>
      <c r="G16" s="63">
        <f t="shared" ref="G16:J16" si="9">G11+G12-G14+G15</f>
        <v>3553085.3888084292</v>
      </c>
      <c r="H16" s="63">
        <f t="shared" si="9"/>
        <v>4662796.5680664675</v>
      </c>
      <c r="I16" s="63">
        <f t="shared" si="9"/>
        <v>6022604.5881230589</v>
      </c>
      <c r="J16" s="63">
        <f t="shared" si="9"/>
        <v>7642451.6945932871</v>
      </c>
    </row>
    <row r="18" spans="2:11" x14ac:dyDescent="0.3">
      <c r="B18" s="34" t="s">
        <v>93</v>
      </c>
      <c r="C18" s="27">
        <f>(C11+C12)/C14</f>
        <v>4.8937489319142617</v>
      </c>
      <c r="D18" s="27">
        <f t="shared" ref="D18:E18" si="10">(D11+D12)/D14</f>
        <v>5.8707808120055702</v>
      </c>
      <c r="E18" s="27">
        <f t="shared" si="10"/>
        <v>6.8447849209182063</v>
      </c>
      <c r="F18" s="41">
        <f>AVERAGE(C18:E18)</f>
        <v>5.8697715549460128</v>
      </c>
      <c r="G18" s="41">
        <f>F18+0.25</f>
        <v>6.1197715549460128</v>
      </c>
      <c r="H18" s="41">
        <f t="shared" ref="H18:J18" si="11">G18+0.25</f>
        <v>6.3697715549460128</v>
      </c>
      <c r="I18" s="41">
        <f t="shared" si="11"/>
        <v>6.6197715549460128</v>
      </c>
      <c r="J18" s="41">
        <f t="shared" si="11"/>
        <v>6.8697715549460128</v>
      </c>
    </row>
    <row r="19" spans="2:11" x14ac:dyDescent="0.3">
      <c r="C19" s="8"/>
      <c r="D19" s="8"/>
      <c r="E19" s="8"/>
      <c r="F19" s="8"/>
      <c r="G19" s="8"/>
      <c r="H19" s="8"/>
      <c r="I19" s="8"/>
      <c r="J19" s="8"/>
    </row>
    <row r="20" spans="2:11" x14ac:dyDescent="0.3">
      <c r="B20" s="20" t="s">
        <v>88</v>
      </c>
      <c r="C20" s="19"/>
      <c r="D20" s="19"/>
      <c r="E20" s="19"/>
      <c r="F20" s="19"/>
      <c r="G20" s="19"/>
      <c r="H20" s="19"/>
      <c r="I20" s="19"/>
      <c r="J20" s="19"/>
    </row>
    <row r="21" spans="2:11" x14ac:dyDescent="0.3">
      <c r="B21" t="s">
        <v>89</v>
      </c>
      <c r="C21" s="8">
        <v>32736713</v>
      </c>
      <c r="D21" s="8">
        <f>C25</f>
        <v>31658056</v>
      </c>
      <c r="E21" s="8">
        <f t="shared" ref="E21:J21" si="12">D25</f>
        <v>32452462</v>
      </c>
      <c r="F21" s="35">
        <f t="shared" si="12"/>
        <v>32778392</v>
      </c>
      <c r="G21" s="35">
        <f t="shared" si="12"/>
        <v>34167946.23512964</v>
      </c>
      <c r="H21" s="35">
        <f t="shared" si="12"/>
        <v>36536813.290257856</v>
      </c>
      <c r="I21" s="35">
        <f t="shared" si="12"/>
        <v>39570924.327060938</v>
      </c>
      <c r="J21" s="35">
        <f t="shared" si="12"/>
        <v>42964311.859034345</v>
      </c>
    </row>
    <row r="22" spans="2:11" x14ac:dyDescent="0.3">
      <c r="B22" t="s">
        <v>90</v>
      </c>
      <c r="C22" s="8">
        <v>12554703</v>
      </c>
      <c r="D22" s="8">
        <v>16223617</v>
      </c>
      <c r="E22" s="8">
        <v>17096617</v>
      </c>
      <c r="F22" s="35">
        <f>F23*'REVENUE BUILD BY REGION'!F27</f>
        <v>17566205.228148539</v>
      </c>
      <c r="G22" s="35">
        <f>G23*'REVENUE BUILD BY REGION'!G27</f>
        <v>19667046.844053227</v>
      </c>
      <c r="H22" s="35">
        <f>H23*'REVENUE BUILD BY REGION'!H27</f>
        <v>21768776.20821698</v>
      </c>
      <c r="I22" s="35">
        <f>I23*'REVENUE BUILD BY REGION'!I27</f>
        <v>23734635.826968696</v>
      </c>
      <c r="J22" s="35">
        <f>J23*'REVENUE BUILD BY REGION'!J27</f>
        <v>25484651.606363334</v>
      </c>
      <c r="K22" s="38"/>
    </row>
    <row r="23" spans="2:11" x14ac:dyDescent="0.3">
      <c r="B23" s="29" t="s">
        <v>94</v>
      </c>
      <c r="C23" s="37">
        <f>C22/'REVENUE BUILD BY REGION'!C27</f>
        <v>0.37320249920497517</v>
      </c>
      <c r="D23" s="37">
        <f>D22/'REVENUE BUILD BY REGION'!D27</f>
        <v>0.41597987598563585</v>
      </c>
      <c r="E23" s="37">
        <f>E22/'REVENUE BUILD BY REGION'!E27</f>
        <v>0.3783857507937271</v>
      </c>
      <c r="F23" s="37">
        <f>E23-4%</f>
        <v>0.33838575079372712</v>
      </c>
      <c r="G23" s="37">
        <f>F23-0.5%</f>
        <v>0.33338575079372712</v>
      </c>
      <c r="H23" s="37">
        <f t="shared" ref="H23:J23" si="13">G23-0.5%</f>
        <v>0.32838575079372712</v>
      </c>
      <c r="I23" s="37">
        <f t="shared" si="13"/>
        <v>0.32338575079372711</v>
      </c>
      <c r="J23" s="37">
        <f t="shared" si="13"/>
        <v>0.31838575079372711</v>
      </c>
    </row>
    <row r="24" spans="2:11" x14ac:dyDescent="0.3">
      <c r="B24" t="s">
        <v>91</v>
      </c>
      <c r="C24" s="8">
        <v>14197437</v>
      </c>
      <c r="D24" s="8">
        <v>15301517</v>
      </c>
      <c r="E24" s="8">
        <v>16422166</v>
      </c>
      <c r="F24" s="35">
        <f>(F21+F22)/F27</f>
        <v>16176650.993018895</v>
      </c>
      <c r="G24" s="35">
        <f t="shared" ref="G24:J24" si="14">(G21+G22)/G27</f>
        <v>17298179.788925007</v>
      </c>
      <c r="H24" s="35">
        <f t="shared" si="14"/>
        <v>18734665.171413898</v>
      </c>
      <c r="I24" s="35">
        <f t="shared" si="14"/>
        <v>20341248.294995289</v>
      </c>
      <c r="J24" s="35">
        <f t="shared" si="14"/>
        <v>21993918.985899504</v>
      </c>
      <c r="K24" s="35"/>
    </row>
    <row r="25" spans="2:11" ht="15" thickBot="1" x14ac:dyDescent="0.35">
      <c r="B25" s="61" t="s">
        <v>92</v>
      </c>
      <c r="C25" s="62">
        <f>'BALANCE SHEET INPUT'!C15</f>
        <v>31658056</v>
      </c>
      <c r="D25" s="62">
        <f>'BALANCE SHEET INPUT'!D15</f>
        <v>32452462</v>
      </c>
      <c r="E25" s="62">
        <f>'BALANCE SHEET INPUT'!E15</f>
        <v>32778392</v>
      </c>
      <c r="F25" s="63">
        <f>F21+F22-F24</f>
        <v>34167946.23512964</v>
      </c>
      <c r="G25" s="63">
        <f t="shared" ref="G25:J25" si="15">G21+G22-G24</f>
        <v>36536813.290257856</v>
      </c>
      <c r="H25" s="63">
        <f t="shared" si="15"/>
        <v>39570924.327060938</v>
      </c>
      <c r="I25" s="63">
        <f t="shared" si="15"/>
        <v>42964311.859034345</v>
      </c>
      <c r="J25" s="63">
        <f t="shared" si="15"/>
        <v>46455044.479498178</v>
      </c>
    </row>
    <row r="27" spans="2:11" x14ac:dyDescent="0.3">
      <c r="B27" s="34" t="s">
        <v>93</v>
      </c>
      <c r="C27" s="27">
        <f>(C21+C22)/C24</f>
        <v>3.1901121308022002</v>
      </c>
      <c r="D27" s="27">
        <f t="shared" ref="D27:E27" si="16">(D21+D22)/D24</f>
        <v>3.1292108488328316</v>
      </c>
      <c r="E27" s="27">
        <f t="shared" si="16"/>
        <v>3.0172072916568982</v>
      </c>
      <c r="F27" s="41">
        <f>AVERAGE($C$27:$E$27)</f>
        <v>3.1121767570973105</v>
      </c>
      <c r="G27" s="41">
        <f t="shared" ref="G27:J27" si="17">AVERAGE($C$27:$E$27)</f>
        <v>3.1121767570973105</v>
      </c>
      <c r="H27" s="41">
        <f t="shared" si="17"/>
        <v>3.1121767570973105</v>
      </c>
      <c r="I27" s="41">
        <f t="shared" si="17"/>
        <v>3.1121767570973105</v>
      </c>
      <c r="J27" s="41">
        <f t="shared" si="17"/>
        <v>3.1121767570973105</v>
      </c>
    </row>
    <row r="28" spans="2:11" x14ac:dyDescent="0.3">
      <c r="C28" s="8"/>
      <c r="D28" s="8"/>
      <c r="E28" s="8"/>
      <c r="F28" s="8"/>
      <c r="G28" s="8"/>
      <c r="H28" s="8"/>
      <c r="I28" s="8"/>
      <c r="J28" s="8"/>
    </row>
    <row r="29" spans="2:11" x14ac:dyDescent="0.3">
      <c r="B29" s="20" t="s">
        <v>95</v>
      </c>
      <c r="C29" s="19"/>
      <c r="D29" s="19"/>
      <c r="E29" s="19"/>
      <c r="F29" s="19"/>
      <c r="G29" s="19"/>
      <c r="H29" s="19"/>
      <c r="I29" s="19"/>
      <c r="J29" s="19"/>
    </row>
    <row r="30" spans="2:11" x14ac:dyDescent="0.3">
      <c r="B30" t="s">
        <v>96</v>
      </c>
      <c r="C30" s="8">
        <v>14353076</v>
      </c>
      <c r="D30" s="8">
        <f>C34</f>
        <v>14543261</v>
      </c>
      <c r="E30" s="8">
        <f t="shared" ref="E30:J30" si="18">D34</f>
        <v>15582804</v>
      </c>
      <c r="F30" s="27">
        <f t="shared" si="18"/>
        <v>14462836</v>
      </c>
      <c r="G30" s="27">
        <f t="shared" si="18"/>
        <v>13462836</v>
      </c>
      <c r="H30" s="27">
        <f t="shared" si="18"/>
        <v>11936836</v>
      </c>
      <c r="I30" s="27">
        <f t="shared" si="18"/>
        <v>8436836</v>
      </c>
      <c r="J30" s="27">
        <f t="shared" si="18"/>
        <v>4035836</v>
      </c>
    </row>
    <row r="31" spans="2:11" x14ac:dyDescent="0.3">
      <c r="B31" t="s">
        <v>101</v>
      </c>
      <c r="C31" s="39">
        <v>0</v>
      </c>
      <c r="D31" s="8">
        <v>1794460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</row>
    <row r="32" spans="2:11" x14ac:dyDescent="0.3">
      <c r="B32" t="s">
        <v>100</v>
      </c>
      <c r="C32" s="39">
        <v>0</v>
      </c>
      <c r="D32" s="8">
        <v>-400000</v>
      </c>
      <c r="E32" s="8">
        <v>-1833450</v>
      </c>
      <c r="F32" s="8">
        <v>-1000000</v>
      </c>
      <c r="G32" s="8">
        <v>-1526000</v>
      </c>
      <c r="H32" s="8">
        <v>-3500000</v>
      </c>
      <c r="I32" s="8">
        <v>-4401000</v>
      </c>
      <c r="J32" s="8">
        <v>-2292000</v>
      </c>
    </row>
    <row r="33" spans="2:11" x14ac:dyDescent="0.3">
      <c r="B33" t="s">
        <v>102</v>
      </c>
      <c r="C33" s="27">
        <f>C34-C30</f>
        <v>190185</v>
      </c>
      <c r="D33" s="27">
        <f>D34-SUM(D30:D32)</f>
        <v>-354917</v>
      </c>
      <c r="E33" s="27">
        <f>E34-SUM(E30:E32)</f>
        <v>713482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</row>
    <row r="34" spans="2:11" ht="15" thickBot="1" x14ac:dyDescent="0.35">
      <c r="B34" s="61" t="s">
        <v>97</v>
      </c>
      <c r="C34" s="64">
        <f>'BALANCE SHEET INPUT'!C29+'BALANCE SHEET INPUT'!C26</f>
        <v>14543261</v>
      </c>
      <c r="D34" s="64">
        <f>'BALANCE SHEET INPUT'!D29+'BALANCE SHEET INPUT'!D26</f>
        <v>15582804</v>
      </c>
      <c r="E34" s="64">
        <f>'BALANCE SHEET INPUT'!E29+'BALANCE SHEET INPUT'!E26</f>
        <v>14462836</v>
      </c>
      <c r="F34" s="65">
        <f>SUM(F30:F33)</f>
        <v>13462836</v>
      </c>
      <c r="G34" s="65">
        <f t="shared" ref="G34:J34" si="19">SUM(G30:G33)</f>
        <v>11936836</v>
      </c>
      <c r="H34" s="65">
        <f t="shared" si="19"/>
        <v>8436836</v>
      </c>
      <c r="I34" s="65">
        <f t="shared" si="19"/>
        <v>4035836</v>
      </c>
      <c r="J34" s="65">
        <f t="shared" si="19"/>
        <v>1743836</v>
      </c>
      <c r="K34" s="73">
        <f>F34+G32</f>
        <v>11936836</v>
      </c>
    </row>
    <row r="35" spans="2:11" x14ac:dyDescent="0.3">
      <c r="C35" s="8"/>
      <c r="D35" s="8"/>
      <c r="E35" s="8"/>
      <c r="F35" s="8"/>
      <c r="G35" s="8"/>
      <c r="H35" s="8"/>
      <c r="I35" s="8"/>
      <c r="J35" s="8"/>
    </row>
    <row r="36" spans="2:11" x14ac:dyDescent="0.3">
      <c r="B36" t="s">
        <v>98</v>
      </c>
      <c r="C36" s="8">
        <f>'P&amp;L INPUT'!C16</f>
        <v>-699826</v>
      </c>
      <c r="D36" s="8">
        <f>'P&amp;L INPUT'!D16</f>
        <v>-718733</v>
      </c>
      <c r="E36" s="8">
        <f>'P&amp;L INPUT'!E16</f>
        <v>-776510</v>
      </c>
      <c r="F36" s="27">
        <f>-(F34*F37)</f>
        <v>-615117.28882612183</v>
      </c>
      <c r="G36" s="27">
        <f t="shared" ref="G36:J36" si="20">-(G34*G37)</f>
        <v>-533457.47746278357</v>
      </c>
      <c r="H36" s="27">
        <f t="shared" si="20"/>
        <v>-368605.56035420991</v>
      </c>
      <c r="I36" s="27">
        <f t="shared" si="20"/>
        <v>-172289.93236597191</v>
      </c>
      <c r="J36" s="27">
        <f t="shared" si="20"/>
        <v>-72700.563251443076</v>
      </c>
    </row>
    <row r="37" spans="2:11" x14ac:dyDescent="0.3">
      <c r="B37" s="30" t="s">
        <v>99</v>
      </c>
      <c r="C37" s="42">
        <f>-(C36/C34)</f>
        <v>4.8120294341138486E-2</v>
      </c>
      <c r="D37" s="42">
        <f t="shared" ref="D37:E37" si="21">-(D36/D34)</f>
        <v>4.6123470461413747E-2</v>
      </c>
      <c r="E37" s="42">
        <f t="shared" si="21"/>
        <v>5.3690023173878207E-2</v>
      </c>
      <c r="F37" s="42">
        <f>E37-0.8%</f>
        <v>4.5690023173878207E-2</v>
      </c>
      <c r="G37" s="42">
        <f>F37-0.1%</f>
        <v>4.4690023173878206E-2</v>
      </c>
      <c r="H37" s="42">
        <f t="shared" ref="H37:J37" si="22">G37-0.1%</f>
        <v>4.3690023173878205E-2</v>
      </c>
      <c r="I37" s="42">
        <f t="shared" si="22"/>
        <v>4.2690023173878204E-2</v>
      </c>
      <c r="J37" s="42">
        <f t="shared" si="22"/>
        <v>4.1690023173878203E-2</v>
      </c>
    </row>
    <row r="38" spans="2:11" x14ac:dyDescent="0.3">
      <c r="C38" s="8"/>
      <c r="D38" s="8"/>
      <c r="E38" s="8"/>
      <c r="F38" s="43"/>
      <c r="G38" s="8"/>
      <c r="H38" s="8"/>
      <c r="I38" s="8"/>
      <c r="J38" s="8"/>
    </row>
    <row r="39" spans="2:11" x14ac:dyDescent="0.3">
      <c r="C39" s="8"/>
      <c r="D39" s="8"/>
      <c r="E39" s="8"/>
      <c r="F39" s="8"/>
      <c r="G39" s="8"/>
      <c r="H39" s="8"/>
      <c r="I39" s="8"/>
      <c r="J39" s="8"/>
    </row>
    <row r="40" spans="2:11" x14ac:dyDescent="0.3">
      <c r="C40" s="8"/>
      <c r="D40" s="8"/>
      <c r="E40" s="8"/>
      <c r="F40" s="8"/>
      <c r="G40" s="8"/>
      <c r="H40" s="8"/>
      <c r="I40" s="8"/>
      <c r="J40" s="8"/>
    </row>
    <row r="41" spans="2:11" x14ac:dyDescent="0.3">
      <c r="C41" s="8"/>
      <c r="D41" s="8"/>
      <c r="E41" s="8"/>
      <c r="F41" s="8"/>
      <c r="G41" s="8"/>
      <c r="H41" s="8"/>
      <c r="I41" s="8"/>
      <c r="J41" s="8"/>
    </row>
    <row r="42" spans="2:11" x14ac:dyDescent="0.3">
      <c r="C42" s="8"/>
      <c r="D42" s="8"/>
      <c r="E42" s="8"/>
      <c r="F42" s="8"/>
      <c r="G42" s="8"/>
      <c r="H42" s="8"/>
      <c r="I42" s="8"/>
      <c r="J42" s="8"/>
    </row>
    <row r="43" spans="2:11" x14ac:dyDescent="0.3">
      <c r="C43" s="8"/>
      <c r="D43" s="8"/>
      <c r="E43" s="8"/>
      <c r="F43" s="8"/>
      <c r="G43" s="8"/>
      <c r="H43" s="8"/>
      <c r="I43" s="8"/>
      <c r="J43" s="8"/>
    </row>
    <row r="44" spans="2:11" x14ac:dyDescent="0.3">
      <c r="C44" s="8"/>
      <c r="D44" s="8"/>
      <c r="E44" s="8"/>
      <c r="F44" s="8"/>
      <c r="G44" s="8"/>
      <c r="H44" s="8"/>
      <c r="I44" s="8"/>
      <c r="J44" s="8"/>
    </row>
    <row r="45" spans="2:11" x14ac:dyDescent="0.3">
      <c r="C45" s="8"/>
      <c r="D45" s="8"/>
      <c r="E45" s="8"/>
      <c r="F45" s="8"/>
      <c r="G45" s="8"/>
      <c r="H45" s="8"/>
      <c r="I45" s="8"/>
      <c r="J45" s="8"/>
    </row>
    <row r="46" spans="2:11" x14ac:dyDescent="0.3">
      <c r="C46" s="8"/>
      <c r="D46" s="8"/>
      <c r="E46" s="8"/>
      <c r="F46" s="8"/>
      <c r="G46" s="8"/>
      <c r="H46" s="8"/>
      <c r="I46" s="8"/>
      <c r="J46" s="8"/>
    </row>
    <row r="47" spans="2:11" x14ac:dyDescent="0.3">
      <c r="C47" s="8"/>
      <c r="D47" s="8"/>
      <c r="E47" s="8"/>
      <c r="F47" s="8"/>
      <c r="G47" s="8"/>
      <c r="H47" s="8"/>
      <c r="I47" s="8"/>
      <c r="J47" s="8"/>
    </row>
    <row r="48" spans="2:11" x14ac:dyDescent="0.3">
      <c r="C48" s="8"/>
      <c r="D48" s="8"/>
      <c r="E48" s="8"/>
      <c r="F48" s="8"/>
      <c r="G48" s="8"/>
      <c r="H48" s="8"/>
      <c r="I48" s="8"/>
      <c r="J48" s="8"/>
    </row>
    <row r="49" spans="3:10" x14ac:dyDescent="0.3">
      <c r="C49" s="8"/>
      <c r="D49" s="8"/>
      <c r="E49" s="8"/>
      <c r="F49" s="8"/>
      <c r="G49" s="8"/>
      <c r="H49" s="8"/>
      <c r="I49" s="8"/>
      <c r="J49" s="8"/>
    </row>
    <row r="50" spans="3:10" x14ac:dyDescent="0.3">
      <c r="C50" s="8"/>
      <c r="D50" s="8"/>
      <c r="E50" s="8"/>
      <c r="F50" s="8"/>
      <c r="G50" s="8"/>
      <c r="H50" s="8"/>
      <c r="I50" s="8"/>
      <c r="J50" s="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FA06-7374-40B1-A39B-B0E220C1D0EF}">
  <dimension ref="B6:J28"/>
  <sheetViews>
    <sheetView showGridLines="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H29" sqref="H29"/>
    </sheetView>
  </sheetViews>
  <sheetFormatPr defaultRowHeight="14.4" x14ac:dyDescent="0.3"/>
  <cols>
    <col min="1" max="1" width="2.33203125" customWidth="1"/>
    <col min="2" max="2" width="40.77734375" customWidth="1"/>
    <col min="3" max="10" width="13.77734375" customWidth="1"/>
  </cols>
  <sheetData>
    <row r="6" spans="2:10" ht="15.6" x14ac:dyDescent="0.3">
      <c r="B6" s="4" t="s">
        <v>111</v>
      </c>
      <c r="C6" s="5"/>
      <c r="D6" s="5"/>
      <c r="E6" s="5"/>
      <c r="F6" s="5"/>
      <c r="G6" s="5"/>
      <c r="H6" s="5"/>
      <c r="I6" s="5"/>
      <c r="J6" s="5"/>
    </row>
    <row r="8" spans="2:10" x14ac:dyDescent="0.3">
      <c r="B8" s="6" t="s">
        <v>40</v>
      </c>
      <c r="C8" s="7">
        <v>2023</v>
      </c>
      <c r="D8" s="7">
        <f>C8+1</f>
        <v>2024</v>
      </c>
      <c r="E8" s="7">
        <f>D8+1</f>
        <v>2025</v>
      </c>
      <c r="F8" s="24">
        <f>E8+1</f>
        <v>2026</v>
      </c>
      <c r="G8" s="24">
        <f t="shared" ref="G8:J8" si="0">F8+1</f>
        <v>2027</v>
      </c>
      <c r="H8" s="24">
        <f t="shared" si="0"/>
        <v>2028</v>
      </c>
      <c r="I8" s="24">
        <f t="shared" si="0"/>
        <v>2029</v>
      </c>
      <c r="J8" s="24">
        <f t="shared" si="0"/>
        <v>2030</v>
      </c>
    </row>
    <row r="9" spans="2:10" x14ac:dyDescent="0.3">
      <c r="B9" t="s">
        <v>46</v>
      </c>
      <c r="C9" s="8">
        <f>'REVENUE BUILD BY REGION'!C27</f>
        <v>33640458</v>
      </c>
      <c r="D9" s="8">
        <f>'REVENUE BUILD BY REGION'!D27</f>
        <v>39000966</v>
      </c>
      <c r="E9" s="8">
        <f>'REVENUE BUILD BY REGION'!E27</f>
        <v>45183036</v>
      </c>
      <c r="F9" s="35">
        <f>'REVENUE BUILD BY REGION'!F27</f>
        <v>51911775.797133163</v>
      </c>
      <c r="G9" s="35">
        <f>'REVENUE BUILD BY REGION'!G27</f>
        <v>58991863.921087764</v>
      </c>
      <c r="H9" s="35">
        <f>'REVENUE BUILD BY REGION'!H27</f>
        <v>66290258.196650147</v>
      </c>
      <c r="I9" s="35">
        <f>'REVENUE BUILD BY REGION'!I27</f>
        <v>73394191.82420294</v>
      </c>
      <c r="J9" s="35">
        <f>'REVENUE BUILD BY REGION'!J27</f>
        <v>80043317.085738868</v>
      </c>
    </row>
    <row r="10" spans="2:10" x14ac:dyDescent="0.3">
      <c r="B10" t="s">
        <v>103</v>
      </c>
      <c r="C10" s="8">
        <v>82839</v>
      </c>
      <c r="D10" s="39">
        <v>0</v>
      </c>
      <c r="E10" s="39">
        <v>0</v>
      </c>
      <c r="F10" s="81">
        <v>0</v>
      </c>
      <c r="G10" s="81">
        <v>0</v>
      </c>
      <c r="H10" s="81">
        <v>0</v>
      </c>
      <c r="I10" s="81">
        <v>0</v>
      </c>
      <c r="J10" s="81">
        <v>0</v>
      </c>
    </row>
    <row r="11" spans="2:10" x14ac:dyDescent="0.3">
      <c r="B11" s="66" t="s">
        <v>52</v>
      </c>
      <c r="C11" s="51">
        <f>C9+C10</f>
        <v>33723297</v>
      </c>
      <c r="D11" s="51">
        <f t="shared" ref="D11:J11" si="1">D9+D10</f>
        <v>39000966</v>
      </c>
      <c r="E11" s="51">
        <f t="shared" si="1"/>
        <v>45183036</v>
      </c>
      <c r="F11" s="52">
        <f t="shared" si="1"/>
        <v>51911775.797133163</v>
      </c>
      <c r="G11" s="52">
        <f t="shared" si="1"/>
        <v>58991863.921087764</v>
      </c>
      <c r="H11" s="52">
        <f t="shared" si="1"/>
        <v>66290258.196650147</v>
      </c>
      <c r="I11" s="52">
        <f t="shared" si="1"/>
        <v>73394191.82420294</v>
      </c>
      <c r="J11" s="52">
        <f t="shared" si="1"/>
        <v>80043317.085738868</v>
      </c>
    </row>
    <row r="12" spans="2:10" x14ac:dyDescent="0.3">
      <c r="B12" s="46" t="s">
        <v>67</v>
      </c>
      <c r="C12" s="8">
        <f>'OPERATING ASSUMPTIONS &amp; WORKING'!C11</f>
        <v>19715368</v>
      </c>
      <c r="D12" s="8">
        <f>'OPERATING ASSUMPTIONS &amp; WORKING'!D11</f>
        <v>21038464</v>
      </c>
      <c r="E12" s="8">
        <f>'OPERATING ASSUMPTIONS &amp; WORKING'!E11</f>
        <v>23275329</v>
      </c>
      <c r="F12" s="35">
        <f>'OPERATING ASSUMPTIONS &amp; WORKING'!F11</f>
        <v>26222415.516873494</v>
      </c>
      <c r="G12" s="35">
        <f>'OPERATING ASSUMPTIONS &amp; WORKING'!G11</f>
        <v>28913932.50566889</v>
      </c>
      <c r="H12" s="35">
        <f>'OPERATING ASSUMPTIONS &amp; WORKING'!H11</f>
        <v>31496771.578608338</v>
      </c>
      <c r="I12" s="35">
        <f>'OPERATING ASSUMPTIONS &amp; WORKING'!I11</f>
        <v>33771180.820415013</v>
      </c>
      <c r="J12" s="35">
        <f>'OPERATING ASSUMPTIONS &amp; WORKING'!J11</f>
        <v>35630021.276144184</v>
      </c>
    </row>
    <row r="13" spans="2:10" x14ac:dyDescent="0.3">
      <c r="B13" s="66" t="s">
        <v>104</v>
      </c>
      <c r="C13" s="51">
        <f>C11-C12</f>
        <v>14007929</v>
      </c>
      <c r="D13" s="51">
        <f>D11-D12</f>
        <v>17962502</v>
      </c>
      <c r="E13" s="51">
        <f t="shared" ref="E13:J13" si="2">E11-E12</f>
        <v>21907707</v>
      </c>
      <c r="F13" s="52">
        <f t="shared" si="2"/>
        <v>25689360.280259669</v>
      </c>
      <c r="G13" s="52">
        <f t="shared" si="2"/>
        <v>30077931.415418874</v>
      </c>
      <c r="H13" s="52">
        <f t="shared" si="2"/>
        <v>34793486.618041813</v>
      </c>
      <c r="I13" s="52">
        <f t="shared" si="2"/>
        <v>39623011.003787927</v>
      </c>
      <c r="J13" s="52">
        <f t="shared" si="2"/>
        <v>44413295.809594683</v>
      </c>
    </row>
    <row r="14" spans="2:10" x14ac:dyDescent="0.3">
      <c r="B14" t="s">
        <v>105</v>
      </c>
      <c r="C14" s="8"/>
      <c r="D14" s="8"/>
      <c r="E14" s="8"/>
      <c r="F14" s="35"/>
      <c r="G14" s="35"/>
      <c r="H14" s="35"/>
      <c r="I14" s="35"/>
      <c r="J14" s="35"/>
    </row>
    <row r="15" spans="2:10" x14ac:dyDescent="0.3">
      <c r="B15" s="46" t="s">
        <v>69</v>
      </c>
      <c r="C15" s="8">
        <f>'OPERATING ASSUMPTIONS &amp; WORKING'!C15</f>
        <v>2657883</v>
      </c>
      <c r="D15" s="8">
        <f>'OPERATING ASSUMPTIONS &amp; WORKING'!D15</f>
        <v>2917554</v>
      </c>
      <c r="E15" s="8">
        <f>'OPERATING ASSUMPTIONS &amp; WORKING'!E15</f>
        <v>3301306</v>
      </c>
      <c r="F15" s="35">
        <f>'OPERATING ASSUMPTIONS &amp; WORKING'!F15</f>
        <v>3735839.5330406334</v>
      </c>
      <c r="G15" s="35">
        <f>'OPERATING ASSUMPTIONS &amp; WORKING'!G15</f>
        <v>4068383.6543814978</v>
      </c>
      <c r="H15" s="35">
        <f>'OPERATING ASSUMPTIONS &amp; WORKING'!H15</f>
        <v>4372847.8483839752</v>
      </c>
      <c r="I15" s="35">
        <f>'OPERATING ASSUMPTIONS &amp; WORKING'!I15</f>
        <v>4621277.4298613984</v>
      </c>
      <c r="J15" s="35">
        <f>'OPERATING ASSUMPTIONS &amp; WORKING'!J15</f>
        <v>4799810.7506660502</v>
      </c>
    </row>
    <row r="16" spans="2:10" x14ac:dyDescent="0.3">
      <c r="B16" s="46" t="s">
        <v>70</v>
      </c>
      <c r="C16" s="8">
        <f>'OPERATING ASSUMPTIONS &amp; WORKING'!C19</f>
        <v>2675758</v>
      </c>
      <c r="D16" s="8">
        <f>'OPERATING ASSUMPTIONS &amp; WORKING'!D19</f>
        <v>2925295</v>
      </c>
      <c r="E16" s="8">
        <f>'OPERATING ASSUMPTIONS &amp; WORKING'!E19</f>
        <v>3391390</v>
      </c>
      <c r="F16" s="35">
        <f>'OPERATING ASSUMPTIONS &amp; WORKING'!F19</f>
        <v>3865294.893858836</v>
      </c>
      <c r="G16" s="35">
        <f>'OPERATING ASSUMPTIONS &amp; WORKING'!G19</f>
        <v>4357075.5088222381</v>
      </c>
      <c r="H16" s="35">
        <f>'OPERATING ASSUMPTIONS &amp; WORKING'!H19</f>
        <v>4856352.8914911775</v>
      </c>
      <c r="I16" s="35">
        <f>'OPERATING ASSUMPTIONS &amp; WORKING'!I19</f>
        <v>5332742.8998653898</v>
      </c>
      <c r="J16" s="35">
        <f>'OPERATING ASSUMPTIONS &amp; WORKING'!J19</f>
        <v>5767835.1870615957</v>
      </c>
    </row>
    <row r="17" spans="2:10" x14ac:dyDescent="0.3">
      <c r="B17" s="46" t="s">
        <v>72</v>
      </c>
      <c r="C17" s="8">
        <f>'OPERATING ASSUMPTIONS &amp; WORKING'!C23</f>
        <v>1720285</v>
      </c>
      <c r="D17" s="8">
        <f>'OPERATING ASSUMPTIONS &amp; WORKING'!D23</f>
        <v>1702039</v>
      </c>
      <c r="E17" s="8">
        <f>'OPERATING ASSUMPTIONS &amp; WORKING'!E23</f>
        <v>1888408</v>
      </c>
      <c r="F17" s="35">
        <f>'OPERATING ASSUMPTIONS &amp; WORKING'!F23</f>
        <v>2076191.9532612683</v>
      </c>
      <c r="G17" s="35">
        <f>'OPERATING ASSUMPTIONS &amp; WORKING'!G23</f>
        <v>2300365.5516194925</v>
      </c>
      <c r="H17" s="35">
        <f>'OPERATING ASSUMPTIONS &amp; WORKING'!H23</f>
        <v>2518673.4338731742</v>
      </c>
      <c r="I17" s="35">
        <f>'OPERATING ASSUMPTIONS &amp; WORKING'!I23</f>
        <v>2715190.5290232566</v>
      </c>
      <c r="J17" s="35">
        <f>'OPERATING ASSUMPTIONS &amp; WORKING'!J23</f>
        <v>2881129.100799439</v>
      </c>
    </row>
    <row r="18" spans="2:10" x14ac:dyDescent="0.3">
      <c r="B18" s="67" t="s">
        <v>106</v>
      </c>
      <c r="C18" s="51">
        <f>C13-SUM(C15:C17)</f>
        <v>6954003</v>
      </c>
      <c r="D18" s="51">
        <f t="shared" ref="D18:J18" si="3">D13-SUM(D15:D17)</f>
        <v>10417614</v>
      </c>
      <c r="E18" s="51">
        <f t="shared" si="3"/>
        <v>13326603</v>
      </c>
      <c r="F18" s="52">
        <f t="shared" si="3"/>
        <v>16012033.900098931</v>
      </c>
      <c r="G18" s="52">
        <f t="shared" si="3"/>
        <v>19352106.700595647</v>
      </c>
      <c r="H18" s="52">
        <f t="shared" si="3"/>
        <v>23045612.444293484</v>
      </c>
      <c r="I18" s="52">
        <f t="shared" si="3"/>
        <v>26953800.145037882</v>
      </c>
      <c r="J18" s="52">
        <f t="shared" si="3"/>
        <v>30964520.771067597</v>
      </c>
    </row>
    <row r="19" spans="2:10" x14ac:dyDescent="0.3">
      <c r="B19" s="46" t="s">
        <v>84</v>
      </c>
      <c r="C19" s="8">
        <f>SCHEDULES!C14</f>
        <v>356947</v>
      </c>
      <c r="D19" s="8">
        <f>SCHEDULES!D14</f>
        <v>328914</v>
      </c>
      <c r="E19" s="8">
        <f>SCHEDULES!E14</f>
        <v>333389</v>
      </c>
      <c r="F19" s="35">
        <f>SCHEDULES!F14</f>
        <v>249144.31376767834</v>
      </c>
      <c r="G19" s="35">
        <f>SCHEDULES!G14</f>
        <v>316123.64969545125</v>
      </c>
      <c r="H19" s="35">
        <f>SCHEDULES!H14</f>
        <v>397187.22648903442</v>
      </c>
      <c r="I19" s="35">
        <f>SCHEDULES!I14</f>
        <v>492061.22598282091</v>
      </c>
      <c r="J19" s="35">
        <f>SCHEDULES!J14</f>
        <v>599899.98296399345</v>
      </c>
    </row>
    <row r="20" spans="2:10" x14ac:dyDescent="0.3">
      <c r="B20" s="67" t="s">
        <v>112</v>
      </c>
      <c r="C20" s="51">
        <f>C18-C19</f>
        <v>6597056</v>
      </c>
      <c r="D20" s="51">
        <f t="shared" ref="D20:J20" si="4">D18-D19</f>
        <v>10088700</v>
      </c>
      <c r="E20" s="51">
        <f t="shared" si="4"/>
        <v>12993214</v>
      </c>
      <c r="F20" s="52">
        <f t="shared" si="4"/>
        <v>15762889.586331252</v>
      </c>
      <c r="G20" s="52">
        <f t="shared" si="4"/>
        <v>19035983.050900195</v>
      </c>
      <c r="H20" s="52">
        <f t="shared" si="4"/>
        <v>22648425.217804451</v>
      </c>
      <c r="I20" s="52">
        <f t="shared" si="4"/>
        <v>26461738.91905506</v>
      </c>
      <c r="J20" s="52">
        <f t="shared" si="4"/>
        <v>30364620.788103603</v>
      </c>
    </row>
    <row r="21" spans="2:10" x14ac:dyDescent="0.3">
      <c r="B21" s="46" t="s">
        <v>98</v>
      </c>
      <c r="C21" s="8">
        <f>SCHEDULES!C36</f>
        <v>-699826</v>
      </c>
      <c r="D21" s="8">
        <f>SCHEDULES!D36</f>
        <v>-718733</v>
      </c>
      <c r="E21" s="8">
        <f>SCHEDULES!E36</f>
        <v>-776510</v>
      </c>
      <c r="F21" s="35">
        <f>SCHEDULES!F36</f>
        <v>-615117.28882612183</v>
      </c>
      <c r="G21" s="35">
        <f>SCHEDULES!G36</f>
        <v>-533457.47746278357</v>
      </c>
      <c r="H21" s="35">
        <f>SCHEDULES!H36</f>
        <v>-368605.56035420991</v>
      </c>
      <c r="I21" s="35">
        <f>SCHEDULES!I36</f>
        <v>-172289.93236597191</v>
      </c>
      <c r="J21" s="35">
        <f>SCHEDULES!J36</f>
        <v>-72700.563251443076</v>
      </c>
    </row>
    <row r="22" spans="2:10" x14ac:dyDescent="0.3">
      <c r="B22" s="46" t="s">
        <v>107</v>
      </c>
      <c r="C22" s="8">
        <f>'P&amp;L INPUT'!C17</f>
        <v>-48772</v>
      </c>
      <c r="D22" s="8">
        <f>'P&amp;L INPUT'!D17</f>
        <v>266776</v>
      </c>
      <c r="E22" s="8">
        <f>'P&amp;L INPUT'!E17</f>
        <v>172459</v>
      </c>
      <c r="F22" s="35">
        <f>F11*F23</f>
        <v>159384.6800233064</v>
      </c>
      <c r="G22" s="35">
        <f t="shared" ref="G22:J22" si="5">G11*G23</f>
        <v>181122.66842469017</v>
      </c>
      <c r="H22" s="35">
        <f t="shared" si="5"/>
        <v>203530.92201324654</v>
      </c>
      <c r="I22" s="35">
        <f t="shared" si="5"/>
        <v>225342.12324356232</v>
      </c>
      <c r="J22" s="35">
        <f t="shared" si="5"/>
        <v>245756.92674375992</v>
      </c>
    </row>
    <row r="23" spans="2:10" x14ac:dyDescent="0.3">
      <c r="B23" s="50" t="s">
        <v>68</v>
      </c>
      <c r="C23" s="37">
        <f>C22/C11</f>
        <v>-1.4462405618288154E-3</v>
      </c>
      <c r="D23" s="37">
        <f t="shared" ref="D23:E23" si="6">D22/D11</f>
        <v>6.8402408289066482E-3</v>
      </c>
      <c r="E23" s="37">
        <f t="shared" si="6"/>
        <v>3.8168971204148388E-3</v>
      </c>
      <c r="F23" s="37">
        <f>AVERAGE($C$23:$E$23)</f>
        <v>3.0702991291642243E-3</v>
      </c>
      <c r="G23" s="37">
        <f t="shared" ref="G23:J23" si="7">AVERAGE($C$23:$E$23)</f>
        <v>3.0702991291642243E-3</v>
      </c>
      <c r="H23" s="37">
        <f t="shared" si="7"/>
        <v>3.0702991291642243E-3</v>
      </c>
      <c r="I23" s="37">
        <f t="shared" si="7"/>
        <v>3.0702991291642243E-3</v>
      </c>
      <c r="J23" s="37">
        <f t="shared" si="7"/>
        <v>3.0702991291642243E-3</v>
      </c>
    </row>
    <row r="24" spans="2:10" x14ac:dyDescent="0.3">
      <c r="B24" s="67" t="s">
        <v>113</v>
      </c>
      <c r="C24" s="52">
        <f>C18+C21+C22</f>
        <v>6205405</v>
      </c>
      <c r="D24" s="52">
        <f>D18+D21+D22</f>
        <v>9965657</v>
      </c>
      <c r="E24" s="52">
        <f>E18+E21+E22</f>
        <v>12722552</v>
      </c>
      <c r="F24" s="52">
        <f>F18+F21+F22</f>
        <v>15556301.291296117</v>
      </c>
      <c r="G24" s="52">
        <f t="shared" ref="G24:J24" si="8">G18+G21+G22</f>
        <v>18999771.891557556</v>
      </c>
      <c r="H24" s="52">
        <f t="shared" si="8"/>
        <v>22880537.805952519</v>
      </c>
      <c r="I24" s="52">
        <f t="shared" si="8"/>
        <v>27006852.335915472</v>
      </c>
      <c r="J24" s="52">
        <f t="shared" si="8"/>
        <v>31137577.134559914</v>
      </c>
    </row>
    <row r="25" spans="2:10" x14ac:dyDescent="0.3">
      <c r="B25" s="46" t="s">
        <v>108</v>
      </c>
      <c r="C25" s="8">
        <f>'P&amp;L INPUT'!C19</f>
        <v>-797415</v>
      </c>
      <c r="D25" s="8">
        <f>'P&amp;L INPUT'!D19</f>
        <v>-1254026</v>
      </c>
      <c r="E25" s="8">
        <f>'P&amp;L INPUT'!E19</f>
        <v>-1741351</v>
      </c>
      <c r="F25" s="35">
        <f>-(F24*F26)</f>
        <v>-2206991.181520083</v>
      </c>
      <c r="G25" s="35">
        <f t="shared" ref="G25:J25" si="9">-(G24*G26)</f>
        <v>-2790519.358216845</v>
      </c>
      <c r="H25" s="35">
        <f t="shared" si="9"/>
        <v>-3474894.8064269009</v>
      </c>
      <c r="I25" s="35">
        <f t="shared" si="9"/>
        <v>-4236597.4205488702</v>
      </c>
      <c r="J25" s="35">
        <f t="shared" si="9"/>
        <v>-5040277.0754683716</v>
      </c>
    </row>
    <row r="26" spans="2:10" x14ac:dyDescent="0.3">
      <c r="B26" s="50" t="s">
        <v>110</v>
      </c>
      <c r="C26" s="37">
        <f>-(C25/C24)</f>
        <v>0.12850329672277636</v>
      </c>
      <c r="D26" s="37">
        <f t="shared" ref="D26:E26" si="10">-(D25/D24)</f>
        <v>0.12583475429668109</v>
      </c>
      <c r="E26" s="37">
        <f t="shared" si="10"/>
        <v>0.13687120319885507</v>
      </c>
      <c r="F26" s="37">
        <f>E26+0.5%</f>
        <v>0.14187120319885507</v>
      </c>
      <c r="G26" s="37">
        <f t="shared" ref="G26:J26" si="11">F26+0.5%</f>
        <v>0.14687120319885508</v>
      </c>
      <c r="H26" s="37">
        <f t="shared" si="11"/>
        <v>0.15187120319885508</v>
      </c>
      <c r="I26" s="37">
        <f t="shared" si="11"/>
        <v>0.15687120319885509</v>
      </c>
      <c r="J26" s="37">
        <f t="shared" si="11"/>
        <v>0.16187120319885509</v>
      </c>
    </row>
    <row r="27" spans="2:10" ht="15" thickBot="1" x14ac:dyDescent="0.35">
      <c r="B27" s="68" t="s">
        <v>109</v>
      </c>
      <c r="C27" s="53">
        <f>SUM(C24:C25)</f>
        <v>5407990</v>
      </c>
      <c r="D27" s="53">
        <f t="shared" ref="D27:E27" si="12">SUM(D24:D25)</f>
        <v>8711631</v>
      </c>
      <c r="E27" s="53">
        <f t="shared" si="12"/>
        <v>10981201</v>
      </c>
      <c r="F27" s="53">
        <f>F24+F25</f>
        <v>13349310.109776035</v>
      </c>
      <c r="G27" s="53">
        <f t="shared" ref="G27:J27" si="13">G24+G25</f>
        <v>16209252.533340711</v>
      </c>
      <c r="H27" s="53">
        <f t="shared" si="13"/>
        <v>19405642.999525618</v>
      </c>
      <c r="I27" s="53">
        <f t="shared" si="13"/>
        <v>22770254.915366601</v>
      </c>
      <c r="J27" s="53">
        <f t="shared" si="13"/>
        <v>26097300.059091542</v>
      </c>
    </row>
    <row r="28" spans="2:10" x14ac:dyDescent="0.3">
      <c r="D28" s="49"/>
      <c r="E28" s="49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3EB1-45D5-407B-896D-D6D00EABEDE4}">
  <dimension ref="B6:L45"/>
  <sheetViews>
    <sheetView showGridLines="0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F15" sqref="F15"/>
    </sheetView>
  </sheetViews>
  <sheetFormatPr defaultRowHeight="14.4" x14ac:dyDescent="0.3"/>
  <cols>
    <col min="1" max="1" width="2.33203125" customWidth="1"/>
    <col min="2" max="2" width="40.77734375" customWidth="1"/>
    <col min="3" max="10" width="13.77734375" customWidth="1"/>
    <col min="11" max="11" width="11.88671875" bestFit="1" customWidth="1"/>
    <col min="12" max="15" width="12.5546875" bestFit="1" customWidth="1"/>
    <col min="16" max="16" width="12.88671875" bestFit="1" customWidth="1"/>
    <col min="17" max="17" width="11.109375" bestFit="1" customWidth="1"/>
  </cols>
  <sheetData>
    <row r="6" spans="2:11" ht="15.6" x14ac:dyDescent="0.3">
      <c r="B6" s="4" t="s">
        <v>114</v>
      </c>
      <c r="C6" s="5"/>
      <c r="D6" s="5"/>
      <c r="E6" s="5"/>
      <c r="F6" s="5"/>
      <c r="G6" s="5"/>
      <c r="H6" s="5"/>
      <c r="I6" s="5"/>
      <c r="J6" s="5"/>
    </row>
    <row r="8" spans="2:11" x14ac:dyDescent="0.3">
      <c r="B8" s="6" t="s">
        <v>40</v>
      </c>
      <c r="C8" s="7">
        <v>2023</v>
      </c>
      <c r="D8" s="7">
        <f>C8+1</f>
        <v>2024</v>
      </c>
      <c r="E8" s="7">
        <f>D8+1</f>
        <v>2025</v>
      </c>
      <c r="F8" s="24">
        <f>E8+1</f>
        <v>2026</v>
      </c>
      <c r="G8" s="24">
        <f t="shared" ref="G8:J8" si="0">F8+1</f>
        <v>2027</v>
      </c>
      <c r="H8" s="24">
        <f t="shared" si="0"/>
        <v>2028</v>
      </c>
      <c r="I8" s="24">
        <f t="shared" si="0"/>
        <v>2029</v>
      </c>
      <c r="J8" s="24">
        <f t="shared" si="0"/>
        <v>2030</v>
      </c>
    </row>
    <row r="9" spans="2:11" x14ac:dyDescent="0.3">
      <c r="B9" s="40" t="s">
        <v>12</v>
      </c>
      <c r="C9" s="16"/>
      <c r="D9" s="17"/>
      <c r="E9" s="17"/>
      <c r="F9" s="17"/>
      <c r="G9" s="17"/>
      <c r="H9" s="17"/>
      <c r="I9" s="17"/>
      <c r="J9" s="17"/>
    </row>
    <row r="10" spans="2:11" x14ac:dyDescent="0.3">
      <c r="B10" s="13" t="s">
        <v>13</v>
      </c>
      <c r="C10" s="13"/>
      <c r="D10" s="12"/>
      <c r="E10" s="12"/>
    </row>
    <row r="11" spans="2:11" x14ac:dyDescent="0.3">
      <c r="B11" s="3" t="s">
        <v>14</v>
      </c>
      <c r="C11" s="8">
        <v>7116913</v>
      </c>
      <c r="D11" s="8">
        <v>7804733</v>
      </c>
      <c r="E11" s="8">
        <v>9033681</v>
      </c>
      <c r="F11" s="35">
        <f>E11+'FORECASTED CASH FLOW STATEMENT'!E28</f>
        <v>19244284.352038004</v>
      </c>
      <c r="G11" s="35">
        <f>F11+'FORECASTED CASH FLOW STATEMENT'!F28</f>
        <v>30399353.695798632</v>
      </c>
      <c r="H11" s="35">
        <f>G11+'FORECASTED CASH FLOW STATEMENT'!G28</f>
        <v>41844233.457155704</v>
      </c>
      <c r="I11" s="35">
        <f>H11+'FORECASTED CASH FLOW STATEMENT'!H28</f>
        <v>55009643.890161276</v>
      </c>
      <c r="J11" s="35">
        <f>I11+'FORECASTED CASH FLOW STATEMENT'!I28</f>
        <v>73068097.028754801</v>
      </c>
    </row>
    <row r="12" spans="2:11" x14ac:dyDescent="0.3">
      <c r="B12" s="3" t="s">
        <v>15</v>
      </c>
      <c r="C12" s="8">
        <v>20973</v>
      </c>
      <c r="D12" s="8">
        <v>1779006</v>
      </c>
      <c r="E12" s="8">
        <v>28678</v>
      </c>
      <c r="F12" s="35">
        <f>'FORECASTED P&amp;L '!F11*'FORECASTED BALANCE SHEET'!F13</f>
        <v>1200436.866827752</v>
      </c>
      <c r="G12" s="35">
        <f>'FORECASTED P&amp;L '!G11*'FORECASTED BALANCE SHEET'!G13</f>
        <v>1659120.0944266024</v>
      </c>
      <c r="H12" s="35">
        <f>'FORECASTED P&amp;L '!H11*'FORECASTED BALANCE SHEET'!H13</f>
        <v>2195835.4980310695</v>
      </c>
      <c r="I12" s="35">
        <f>'FORECASTED P&amp;L '!I11*'FORECASTED BALANCE SHEET'!I13</f>
        <v>2798121.1181504223</v>
      </c>
      <c r="J12" s="35">
        <f>'FORECASTED P&amp;L '!J11*'FORECASTED BALANCE SHEET'!J13</f>
        <v>3451832.6648165779</v>
      </c>
    </row>
    <row r="13" spans="2:11" x14ac:dyDescent="0.3">
      <c r="B13" s="75" t="s">
        <v>68</v>
      </c>
      <c r="C13" s="37">
        <f>C12/'FORECASTED P&amp;L '!C11</f>
        <v>6.2191428080119208E-4</v>
      </c>
      <c r="D13" s="37">
        <f>D12/'FORECASTED P&amp;L '!D11</f>
        <v>4.5614408627724756E-2</v>
      </c>
      <c r="E13" s="37">
        <f>E12/'FORECASTED P&amp;L '!E11</f>
        <v>6.3470723835379274E-4</v>
      </c>
      <c r="F13" s="37">
        <f>AVERAGE(D13:E13)</f>
        <v>2.3124557933039275E-2</v>
      </c>
      <c r="G13" s="37">
        <f>F13+0.5%</f>
        <v>2.8124557933039276E-2</v>
      </c>
      <c r="H13" s="37">
        <f t="shared" ref="H13:J13" si="1">G13+0.5%</f>
        <v>3.3124557933039277E-2</v>
      </c>
      <c r="I13" s="37">
        <f t="shared" si="1"/>
        <v>3.8124557933039274E-2</v>
      </c>
      <c r="J13" s="37">
        <f t="shared" si="1"/>
        <v>4.3124557933039272E-2</v>
      </c>
      <c r="K13" s="28"/>
    </row>
    <row r="14" spans="2:11" x14ac:dyDescent="0.3">
      <c r="B14" s="1" t="s">
        <v>16</v>
      </c>
      <c r="C14" s="8">
        <v>2780247</v>
      </c>
      <c r="D14" s="8">
        <v>3516640</v>
      </c>
      <c r="E14" s="8">
        <v>3957832</v>
      </c>
      <c r="F14" s="35">
        <f>'OPERATING ASSUMPTIONS &amp; WORKING'!F27</f>
        <v>4506106.2705881307</v>
      </c>
      <c r="G14" s="35">
        <f>'OPERATING ASSUMPTIONS &amp; WORKING'!G27</f>
        <v>5202427.8846328268</v>
      </c>
      <c r="H14" s="35">
        <f>'OPERATING ASSUMPTIONS &amp; WORKING'!H27</f>
        <v>5802333.2033471959</v>
      </c>
      <c r="I14" s="35">
        <f>'OPERATING ASSUMPTIONS &amp; WORKING'!I27</f>
        <v>6422512.0464811828</v>
      </c>
      <c r="J14" s="35">
        <f>'OPERATING ASSUMPTIONS &amp; WORKING'!J27</f>
        <v>7023139.1867877999</v>
      </c>
    </row>
    <row r="15" spans="2:11" x14ac:dyDescent="0.3">
      <c r="B15" s="57" t="s">
        <v>17</v>
      </c>
      <c r="C15" s="9">
        <f>C11+C12+C14</f>
        <v>9918133</v>
      </c>
      <c r="D15" s="9">
        <f t="shared" ref="D15:J15" si="2">D11+D12+D14</f>
        <v>13100379</v>
      </c>
      <c r="E15" s="9">
        <f t="shared" si="2"/>
        <v>13020191</v>
      </c>
      <c r="F15" s="77">
        <f t="shared" si="2"/>
        <v>24950827.489453886</v>
      </c>
      <c r="G15" s="77">
        <f t="shared" si="2"/>
        <v>37260901.674858063</v>
      </c>
      <c r="H15" s="77">
        <f t="shared" si="2"/>
        <v>49842402.158533975</v>
      </c>
      <c r="I15" s="77">
        <f t="shared" si="2"/>
        <v>64230277.054792881</v>
      </c>
      <c r="J15" s="77">
        <f t="shared" si="2"/>
        <v>83543068.880359173</v>
      </c>
    </row>
    <row r="16" spans="2:11" x14ac:dyDescent="0.3">
      <c r="B16" s="3" t="s">
        <v>18</v>
      </c>
      <c r="C16" s="8">
        <v>31658056</v>
      </c>
      <c r="D16" s="8">
        <v>32452462</v>
      </c>
      <c r="E16" s="8">
        <v>32778392</v>
      </c>
      <c r="F16" s="35">
        <f>SCHEDULES!F25</f>
        <v>34167946.23512964</v>
      </c>
      <c r="G16" s="35">
        <f>SCHEDULES!G25</f>
        <v>36536813.290257856</v>
      </c>
      <c r="H16" s="35">
        <f>SCHEDULES!H25</f>
        <v>39570924.327060938</v>
      </c>
      <c r="I16" s="35">
        <f>SCHEDULES!I25</f>
        <v>42964311.859034345</v>
      </c>
      <c r="J16" s="35">
        <f>SCHEDULES!J25</f>
        <v>46455044.479498178</v>
      </c>
    </row>
    <row r="17" spans="2:12" x14ac:dyDescent="0.3">
      <c r="B17" s="3" t="s">
        <v>19</v>
      </c>
      <c r="C17" s="8">
        <v>1491444</v>
      </c>
      <c r="D17" s="8">
        <v>1593756</v>
      </c>
      <c r="E17" s="8">
        <v>2004350</v>
      </c>
      <c r="F17" s="35">
        <f>SCHEDULES!F16</f>
        <v>2675696.0982924467</v>
      </c>
      <c r="G17" s="35">
        <f>SCHEDULES!G16</f>
        <v>3553085.3888084292</v>
      </c>
      <c r="H17" s="35">
        <f>SCHEDULES!H16</f>
        <v>4662796.5680664675</v>
      </c>
      <c r="I17" s="35">
        <f>SCHEDULES!I16</f>
        <v>6022604.5881230589</v>
      </c>
      <c r="J17" s="35">
        <f>SCHEDULES!J16</f>
        <v>7642451.6945932871</v>
      </c>
    </row>
    <row r="18" spans="2:12" x14ac:dyDescent="0.3">
      <c r="B18" s="3" t="s">
        <v>20</v>
      </c>
      <c r="C18" s="8">
        <v>5664359</v>
      </c>
      <c r="D18" s="8">
        <v>6483777</v>
      </c>
      <c r="E18" s="8">
        <v>7794060</v>
      </c>
      <c r="F18" s="35">
        <f>F19*'FORECASTED P&amp;L '!F11</f>
        <v>8768107.0090528317</v>
      </c>
      <c r="G18" s="35">
        <f>G19*'FORECASTED P&amp;L '!G11</f>
        <v>9963962.2721622549</v>
      </c>
      <c r="H18" s="35">
        <f>H19*'FORECASTED P&amp;L '!H11</f>
        <v>11196690.319310348</v>
      </c>
      <c r="I18" s="35">
        <f>I19*'FORECASTED P&amp;L '!I11</f>
        <v>12396573.183556953</v>
      </c>
      <c r="J18" s="35">
        <f>J19*'FORECASTED P&amp;L '!J11</f>
        <v>13519637.09178417</v>
      </c>
    </row>
    <row r="19" spans="2:12" x14ac:dyDescent="0.3">
      <c r="B19" s="75" t="s">
        <v>68</v>
      </c>
      <c r="C19" s="37">
        <f>C18/'FORECASTED P&amp;L '!C11</f>
        <v>0.16796575376363704</v>
      </c>
      <c r="D19" s="37">
        <f>D18/'FORECASTED P&amp;L '!D11</f>
        <v>0.16624657450792374</v>
      </c>
      <c r="E19" s="37">
        <f>E18/'FORECASTED P&amp;L '!E11</f>
        <v>0.17249969656753478</v>
      </c>
      <c r="F19" s="37">
        <f>AVERAGE($C$19:$E$19)</f>
        <v>0.16890400827969851</v>
      </c>
      <c r="G19" s="37">
        <f t="shared" ref="G19:J19" si="3">AVERAGE($C$19:$E$19)</f>
        <v>0.16890400827969851</v>
      </c>
      <c r="H19" s="37">
        <f t="shared" si="3"/>
        <v>0.16890400827969851</v>
      </c>
      <c r="I19" s="37">
        <f t="shared" si="3"/>
        <v>0.16890400827969851</v>
      </c>
      <c r="J19" s="37">
        <f t="shared" si="3"/>
        <v>0.16890400827969851</v>
      </c>
      <c r="K19" s="28"/>
    </row>
    <row r="20" spans="2:12" ht="15" thickBot="1" x14ac:dyDescent="0.35">
      <c r="B20" s="56" t="s">
        <v>21</v>
      </c>
      <c r="C20" s="10">
        <f>C15+C16+C17+C18</f>
        <v>48731992</v>
      </c>
      <c r="D20" s="10">
        <f t="shared" ref="D20:J20" si="4">D15+D16+D17+D18</f>
        <v>53630374</v>
      </c>
      <c r="E20" s="10">
        <f>E15+E16+E17+E18</f>
        <v>55596993</v>
      </c>
      <c r="F20" s="78">
        <f t="shared" si="4"/>
        <v>70562576.831928805</v>
      </c>
      <c r="G20" s="78">
        <f t="shared" si="4"/>
        <v>87314762.626086608</v>
      </c>
      <c r="H20" s="78">
        <f t="shared" si="4"/>
        <v>105272813.37297173</v>
      </c>
      <c r="I20" s="78">
        <f t="shared" si="4"/>
        <v>125613766.68550724</v>
      </c>
      <c r="J20" s="78">
        <f t="shared" si="4"/>
        <v>151160202.14623481</v>
      </c>
    </row>
    <row r="21" spans="2:12" x14ac:dyDescent="0.3">
      <c r="B21" s="2"/>
      <c r="C21" s="2"/>
      <c r="D21" s="14"/>
      <c r="E21" s="14"/>
      <c r="F21" s="79"/>
      <c r="G21" s="79"/>
      <c r="H21" s="79"/>
      <c r="I21" s="79"/>
      <c r="J21" s="79"/>
    </row>
    <row r="22" spans="2:12" x14ac:dyDescent="0.3">
      <c r="B22" s="16" t="s">
        <v>22</v>
      </c>
      <c r="C22" s="16"/>
      <c r="D22" s="18"/>
      <c r="E22" s="18"/>
      <c r="F22" s="80"/>
      <c r="G22" s="80"/>
      <c r="H22" s="80"/>
      <c r="I22" s="80"/>
      <c r="J22" s="80"/>
    </row>
    <row r="23" spans="2:12" x14ac:dyDescent="0.3">
      <c r="B23" s="2" t="s">
        <v>23</v>
      </c>
      <c r="C23" s="2"/>
      <c r="D23" s="14"/>
      <c r="E23" s="14"/>
      <c r="F23" s="79"/>
      <c r="G23" s="79"/>
      <c r="H23" s="79"/>
      <c r="I23" s="79"/>
      <c r="J23" s="79"/>
    </row>
    <row r="24" spans="2:12" x14ac:dyDescent="0.3">
      <c r="B24" s="3" t="s">
        <v>24</v>
      </c>
      <c r="C24" s="8">
        <v>4466470</v>
      </c>
      <c r="D24" s="8">
        <v>4393681</v>
      </c>
      <c r="E24" s="8">
        <v>4084854</v>
      </c>
      <c r="F24" s="35">
        <f>F25*SCHEDULES!F22</f>
        <v>5067899.3324860679</v>
      </c>
      <c r="G24" s="35">
        <f>G25*SCHEDULES!G22</f>
        <v>5673998.0137107149</v>
      </c>
      <c r="H24" s="35">
        <f>H25*SCHEDULES!H22</f>
        <v>6280352.812790704</v>
      </c>
      <c r="I24" s="35">
        <f>I25*SCHEDULES!I22</f>
        <v>6847508.8103574701</v>
      </c>
      <c r="J24" s="35">
        <f>J25*SCHEDULES!J22</f>
        <v>7352393.2566590775</v>
      </c>
    </row>
    <row r="25" spans="2:12" x14ac:dyDescent="0.3">
      <c r="B25" s="75" t="s">
        <v>132</v>
      </c>
      <c r="C25" s="37">
        <f>C24/SCHEDULES!C22</f>
        <v>0.35576070576898555</v>
      </c>
      <c r="D25" s="37">
        <f>D24/SCHEDULES!D22</f>
        <v>0.27082006435432987</v>
      </c>
      <c r="E25" s="37">
        <f>E24/SCHEDULES!E22</f>
        <v>0.23892761942318763</v>
      </c>
      <c r="F25" s="37">
        <f>AVERAGE($C$25:$E$25)</f>
        <v>0.28850279651550104</v>
      </c>
      <c r="G25" s="37">
        <f t="shared" ref="G25:J25" si="5">AVERAGE($C$25:$E$25)</f>
        <v>0.28850279651550104</v>
      </c>
      <c r="H25" s="37">
        <f t="shared" si="5"/>
        <v>0.28850279651550104</v>
      </c>
      <c r="I25" s="37">
        <f t="shared" si="5"/>
        <v>0.28850279651550104</v>
      </c>
      <c r="J25" s="37">
        <f t="shared" si="5"/>
        <v>0.28850279651550104</v>
      </c>
    </row>
    <row r="26" spans="2:12" x14ac:dyDescent="0.3">
      <c r="B26" s="3" t="s">
        <v>25</v>
      </c>
      <c r="C26" s="8">
        <v>747412</v>
      </c>
      <c r="D26" s="8">
        <v>899909</v>
      </c>
      <c r="E26" s="8">
        <v>900612</v>
      </c>
      <c r="F26" s="35">
        <f>'OPERATING ASSUMPTIONS &amp; WORKING'!F31</f>
        <v>1043463.6059691503</v>
      </c>
      <c r="G26" s="35">
        <f>'OPERATING ASSUMPTIONS &amp; WORKING'!G31</f>
        <v>1168711.9412690455</v>
      </c>
      <c r="H26" s="35">
        <f>'OPERATING ASSUMPTIONS &amp; WORKING'!H31</f>
        <v>1248395.8503330485</v>
      </c>
      <c r="I26" s="35">
        <f>'OPERATING ASSUMPTIONS &amp; WORKING'!I31</f>
        <v>1349145.8405416592</v>
      </c>
      <c r="J26" s="35">
        <f>'OPERATING ASSUMPTIONS &amp; WORKING'!J31</f>
        <v>1425268.1880990285</v>
      </c>
    </row>
    <row r="27" spans="2:12" x14ac:dyDescent="0.3">
      <c r="B27" s="3" t="s">
        <v>26</v>
      </c>
      <c r="C27" s="8">
        <v>1803960</v>
      </c>
      <c r="D27" s="8">
        <v>2156544</v>
      </c>
      <c r="E27" s="8">
        <v>3220869</v>
      </c>
      <c r="F27" s="35">
        <f>'OPERATING ASSUMPTIONS &amp; WORKING'!F33</f>
        <v>3700526.662261839</v>
      </c>
      <c r="G27" s="35">
        <f>'OPERATING ASSUMPTIONS &amp; WORKING'!G33</f>
        <v>4205230.1610642113</v>
      </c>
      <c r="H27" s="35">
        <f>'OPERATING ASSUMPTIONS &amp; WORKING'!H33</f>
        <v>4725495.5959043205</v>
      </c>
      <c r="I27" s="35">
        <f>'OPERATING ASSUMPTIONS &amp; WORKING'!I33</f>
        <v>5231898.9194667824</v>
      </c>
      <c r="J27" s="35">
        <f>'OPERATING ASSUMPTIONS &amp; WORKING'!J33</f>
        <v>5705881.2661155984</v>
      </c>
    </row>
    <row r="28" spans="2:12" x14ac:dyDescent="0.3">
      <c r="B28" s="3" t="s">
        <v>27</v>
      </c>
      <c r="C28" s="8">
        <v>1442969</v>
      </c>
      <c r="D28" s="8">
        <v>1520813</v>
      </c>
      <c r="E28" s="8">
        <v>1775730</v>
      </c>
      <c r="F28" s="35">
        <f>'OPERATING ASSUMPTIONS &amp; WORKING'!F35</f>
        <v>2032217.5718321847</v>
      </c>
      <c r="G28" s="35">
        <f>'OPERATING ASSUMPTIONS &amp; WORKING'!G35</f>
        <v>2313906.8259588806</v>
      </c>
      <c r="H28" s="35">
        <f>'OPERATING ASSUMPTIONS &amp; WORKING'!H35</f>
        <v>2597639.927163993</v>
      </c>
      <c r="I28" s="35">
        <f>'OPERATING ASSUMPTIONS &amp; WORKING'!I35</f>
        <v>2877419.8754222579</v>
      </c>
      <c r="J28" s="35">
        <f>'OPERATING ASSUMPTIONS &amp; WORKING'!J35</f>
        <v>3137332.0376664898</v>
      </c>
    </row>
    <row r="29" spans="2:12" x14ac:dyDescent="0.3">
      <c r="B29" s="3" t="s">
        <v>28</v>
      </c>
      <c r="C29" s="8">
        <v>399844</v>
      </c>
      <c r="D29" s="8">
        <v>1784453</v>
      </c>
      <c r="E29" s="8">
        <v>998865</v>
      </c>
      <c r="F29" s="35">
        <f>-SCHEDULES!G32</f>
        <v>1526000</v>
      </c>
      <c r="G29" s="35">
        <f>-SCHEDULES!H32</f>
        <v>3500000</v>
      </c>
      <c r="H29" s="35">
        <f>-SCHEDULES!I32</f>
        <v>4401000</v>
      </c>
      <c r="I29" s="35">
        <f>-SCHEDULES!J32</f>
        <v>2292000</v>
      </c>
      <c r="J29" s="81">
        <f>-SCHEDULES!K32</f>
        <v>0</v>
      </c>
    </row>
    <row r="30" spans="2:12" x14ac:dyDescent="0.3">
      <c r="B30" s="58" t="s">
        <v>29</v>
      </c>
      <c r="C30" s="9">
        <f>C24+C26+C27+C28+C29</f>
        <v>8860655</v>
      </c>
      <c r="D30" s="9">
        <f t="shared" ref="D30:J30" si="6">D24+D26+D27+D28+D29</f>
        <v>10755400</v>
      </c>
      <c r="E30" s="9">
        <f t="shared" si="6"/>
        <v>10980930</v>
      </c>
      <c r="F30" s="77">
        <f t="shared" si="6"/>
        <v>13370107.17254924</v>
      </c>
      <c r="G30" s="77">
        <f t="shared" si="6"/>
        <v>16861846.942002852</v>
      </c>
      <c r="H30" s="77">
        <f t="shared" si="6"/>
        <v>19252884.186192065</v>
      </c>
      <c r="I30" s="77">
        <f t="shared" si="6"/>
        <v>18597973.445788167</v>
      </c>
      <c r="J30" s="77">
        <f t="shared" si="6"/>
        <v>17620874.748540193</v>
      </c>
      <c r="K30" s="73"/>
      <c r="L30" s="73"/>
    </row>
    <row r="31" spans="2:12" x14ac:dyDescent="0.3">
      <c r="B31" s="1" t="s">
        <v>30</v>
      </c>
      <c r="C31" s="8">
        <v>2578173</v>
      </c>
      <c r="D31" s="8">
        <v>1780806</v>
      </c>
      <c r="E31" s="8">
        <v>1579476</v>
      </c>
      <c r="F31" s="35">
        <f>F32*SCHEDULES!F22</f>
        <v>2386115.5932324356</v>
      </c>
      <c r="G31" s="35">
        <f>G32*SCHEDULES!G22</f>
        <v>2671484.6227704193</v>
      </c>
      <c r="H31" s="35">
        <f>H32*SCHEDULES!H22</f>
        <v>2956974.240103906</v>
      </c>
      <c r="I31" s="35">
        <f>I32*SCHEDULES!I22</f>
        <v>3224007.912401713</v>
      </c>
      <c r="J31" s="35">
        <f>J32*SCHEDULES!J22</f>
        <v>3461722.3126026765</v>
      </c>
    </row>
    <row r="32" spans="2:12" x14ac:dyDescent="0.3">
      <c r="B32" s="75" t="s">
        <v>132</v>
      </c>
      <c r="C32" s="37">
        <f>C31/SCHEDULES!C22</f>
        <v>0.20535515654970093</v>
      </c>
      <c r="D32" s="37">
        <f>D31/SCHEDULES!D22</f>
        <v>0.10976627468461564</v>
      </c>
      <c r="E32" s="37">
        <f>E31/SCHEDULES!E22</f>
        <v>9.2385294704794521E-2</v>
      </c>
      <c r="F32" s="37">
        <f>AVERAGE($C$32:$E$32)</f>
        <v>0.13583557531303703</v>
      </c>
      <c r="G32" s="37">
        <f t="shared" ref="G32:J32" si="7">AVERAGE($C$32:$E$32)</f>
        <v>0.13583557531303703</v>
      </c>
      <c r="H32" s="37">
        <f t="shared" si="7"/>
        <v>0.13583557531303703</v>
      </c>
      <c r="I32" s="37">
        <f t="shared" si="7"/>
        <v>0.13583557531303703</v>
      </c>
      <c r="J32" s="37">
        <f t="shared" si="7"/>
        <v>0.13583557531303703</v>
      </c>
      <c r="L32" s="73"/>
    </row>
    <row r="33" spans="2:12" x14ac:dyDescent="0.3">
      <c r="B33" s="3" t="s">
        <v>31</v>
      </c>
      <c r="C33" s="8">
        <v>14143417</v>
      </c>
      <c r="D33" s="8">
        <v>13798351</v>
      </c>
      <c r="E33" s="8">
        <v>13463971</v>
      </c>
      <c r="F33" s="35">
        <f>SCHEDULES!F34-'FORECASTED BALANCE SHEET'!F29</f>
        <v>11936836</v>
      </c>
      <c r="G33" s="35">
        <f>SCHEDULES!G34-'FORECASTED BALANCE SHEET'!G29</f>
        <v>8436836</v>
      </c>
      <c r="H33" s="35">
        <f>SCHEDULES!H34-'FORECASTED BALANCE SHEET'!H29</f>
        <v>4035836</v>
      </c>
      <c r="I33" s="35">
        <f>SCHEDULES!I34-'FORECASTED BALANCE SHEET'!I29</f>
        <v>1743836</v>
      </c>
      <c r="J33" s="35">
        <f>SCHEDULES!J34-'FORECASTED BALANCE SHEET'!J29</f>
        <v>1743836</v>
      </c>
      <c r="K33" s="73"/>
    </row>
    <row r="34" spans="2:12" x14ac:dyDescent="0.3">
      <c r="B34" s="3" t="s">
        <v>32</v>
      </c>
      <c r="C34" s="8">
        <v>2561434</v>
      </c>
      <c r="D34" s="8">
        <v>2552250</v>
      </c>
      <c r="E34" s="8">
        <v>2957128</v>
      </c>
      <c r="F34" s="35">
        <f>F35*'FORECASTED P&amp;L '!F11</f>
        <v>3579193.5933869537</v>
      </c>
      <c r="G34" s="35">
        <f>G35*'FORECASTED P&amp;L '!G11</f>
        <v>4067348.8465014664</v>
      </c>
      <c r="H34" s="35">
        <f>H35*'FORECASTED P&amp;L '!H11</f>
        <v>4570555.790051017</v>
      </c>
      <c r="I34" s="35">
        <f>I35*'FORECASTED P&amp;L '!I11</f>
        <v>5060355.133979206</v>
      </c>
      <c r="J34" s="35">
        <f>J35*'FORECASTED P&amp;L '!J11</f>
        <v>5518796.521742925</v>
      </c>
    </row>
    <row r="35" spans="2:12" x14ac:dyDescent="0.3">
      <c r="B35" s="75" t="s">
        <v>68</v>
      </c>
      <c r="C35" s="37">
        <f>C34/'FORECASTED P&amp;L '!C11</f>
        <v>7.5954435890417241E-2</v>
      </c>
      <c r="D35" s="37">
        <f>D34/'FORECASTED P&amp;L '!D11</f>
        <v>6.5440686776835219E-2</v>
      </c>
      <c r="E35" s="37">
        <f>E34/'FORECASTED P&amp;L '!E11</f>
        <v>6.5447749018016407E-2</v>
      </c>
      <c r="F35" s="37">
        <f>AVERAGE($C$35:$E$35)</f>
        <v>6.8947623895089627E-2</v>
      </c>
      <c r="G35" s="37">
        <f t="shared" ref="G35:J35" si="8">AVERAGE($C$35:$E$35)</f>
        <v>6.8947623895089627E-2</v>
      </c>
      <c r="H35" s="37">
        <f t="shared" si="8"/>
        <v>6.8947623895089627E-2</v>
      </c>
      <c r="I35" s="37">
        <f t="shared" si="8"/>
        <v>6.8947623895089627E-2</v>
      </c>
      <c r="J35" s="37">
        <f t="shared" si="8"/>
        <v>6.8947623895089627E-2</v>
      </c>
      <c r="L35" s="76"/>
    </row>
    <row r="36" spans="2:12" x14ac:dyDescent="0.3">
      <c r="B36" s="55" t="s">
        <v>33</v>
      </c>
      <c r="C36" s="9">
        <f>C30+C31+C33+C34</f>
        <v>28143679</v>
      </c>
      <c r="D36" s="9">
        <f t="shared" ref="D36:J36" si="9">D30+D31+D33+D34</f>
        <v>28886807</v>
      </c>
      <c r="E36" s="9">
        <f t="shared" si="9"/>
        <v>28981505</v>
      </c>
      <c r="F36" s="77">
        <f t="shared" si="9"/>
        <v>31272252.359168634</v>
      </c>
      <c r="G36" s="77">
        <f t="shared" si="9"/>
        <v>32037516.411274735</v>
      </c>
      <c r="H36" s="77">
        <f t="shared" si="9"/>
        <v>30816250.21634699</v>
      </c>
      <c r="I36" s="77">
        <f t="shared" si="9"/>
        <v>28626172.492169086</v>
      </c>
      <c r="J36" s="77">
        <f t="shared" si="9"/>
        <v>28345229.582885794</v>
      </c>
    </row>
    <row r="37" spans="2:12" x14ac:dyDescent="0.3">
      <c r="B37" s="2" t="s">
        <v>34</v>
      </c>
      <c r="C37" s="2"/>
      <c r="D37" s="14"/>
      <c r="E37" s="14"/>
      <c r="F37" s="82"/>
      <c r="G37" s="82"/>
      <c r="H37" s="82"/>
      <c r="I37" s="82"/>
      <c r="J37" s="82"/>
    </row>
    <row r="38" spans="2:12" x14ac:dyDescent="0.3">
      <c r="B38" s="3" t="s">
        <v>35</v>
      </c>
      <c r="C38" s="8">
        <v>5145172</v>
      </c>
      <c r="D38" s="8">
        <v>6252126</v>
      </c>
      <c r="E38" s="8">
        <v>7286410</v>
      </c>
      <c r="F38" s="35">
        <f>E38+'OPERATING ASSUMPTIONS &amp; WORKING'!F39</f>
        <v>7722592.8138832506</v>
      </c>
      <c r="G38" s="35">
        <f>F38+'OPERATING ASSUMPTIONS &amp; WORKING'!G39</f>
        <v>8218265.2659656713</v>
      </c>
      <c r="H38" s="35">
        <f>G38+'OPERATING ASSUMPTIONS &amp; WORKING'!H39</f>
        <v>8775261.6489493344</v>
      </c>
      <c r="I38" s="35">
        <f>H38+'OPERATING ASSUMPTIONS &amp; WORKING'!I39</f>
        <v>9391948.0292741582</v>
      </c>
      <c r="J38" s="35">
        <f>I38+'OPERATING ASSUMPTIONS &amp; WORKING'!J39</f>
        <v>10064502.931180151</v>
      </c>
    </row>
    <row r="39" spans="2:12" x14ac:dyDescent="0.3">
      <c r="B39" s="3" t="s">
        <v>36</v>
      </c>
      <c r="C39" s="8">
        <v>-6922200</v>
      </c>
      <c r="D39" s="8">
        <v>-13171638</v>
      </c>
      <c r="E39" s="8">
        <v>-22372658</v>
      </c>
      <c r="F39" s="35">
        <f>-24644078.4+1160763.9</f>
        <v>-23483314.5</v>
      </c>
      <c r="G39" s="35">
        <f>-25362081.7+1160764</f>
        <v>-24201317.699999999</v>
      </c>
      <c r="H39" s="35">
        <f>-26145404+1160763.9</f>
        <v>-24984640.100000001</v>
      </c>
      <c r="I39" s="35">
        <f>-27001314.4+1160764</f>
        <v>-25840550.399999999</v>
      </c>
      <c r="J39" s="35">
        <f>-27943790.9+1160763.9</f>
        <v>-26783027</v>
      </c>
      <c r="K39" s="73"/>
    </row>
    <row r="40" spans="2:12" x14ac:dyDescent="0.3">
      <c r="B40" s="3" t="s">
        <v>64</v>
      </c>
      <c r="C40" s="8">
        <v>-223945</v>
      </c>
      <c r="D40" s="8">
        <v>362162</v>
      </c>
      <c r="E40" s="8">
        <v>-580382</v>
      </c>
      <c r="F40" s="35">
        <f>$E$40</f>
        <v>-580382</v>
      </c>
      <c r="G40" s="35">
        <f t="shared" ref="G40:J40" si="10">$E$40</f>
        <v>-580382</v>
      </c>
      <c r="H40" s="35">
        <f t="shared" si="10"/>
        <v>-580382</v>
      </c>
      <c r="I40" s="35">
        <f t="shared" si="10"/>
        <v>-580382</v>
      </c>
      <c r="J40" s="35">
        <f t="shared" si="10"/>
        <v>-580382</v>
      </c>
    </row>
    <row r="41" spans="2:12" x14ac:dyDescent="0.3">
      <c r="B41" s="3" t="s">
        <v>37</v>
      </c>
      <c r="C41" s="8">
        <v>22589286</v>
      </c>
      <c r="D41" s="8">
        <v>31300917</v>
      </c>
      <c r="E41" s="8">
        <v>42282118</v>
      </c>
      <c r="F41" s="35">
        <f>E41+'FORECASTED P&amp;L '!F27</f>
        <v>55631428.109776035</v>
      </c>
      <c r="G41" s="35">
        <f>F41+'FORECASTED P&amp;L '!G27</f>
        <v>71840680.643116742</v>
      </c>
      <c r="H41" s="35">
        <f>G41+'FORECASTED P&amp;L '!H27</f>
        <v>91246323.642642364</v>
      </c>
      <c r="I41" s="35">
        <f>H41+'FORECASTED P&amp;L '!I27</f>
        <v>114016578.55800897</v>
      </c>
      <c r="J41" s="35">
        <f>I41+'FORECASTED P&amp;L '!J27</f>
        <v>140113878.61710051</v>
      </c>
    </row>
    <row r="42" spans="2:12" x14ac:dyDescent="0.3">
      <c r="B42" s="55" t="s">
        <v>38</v>
      </c>
      <c r="C42" s="22">
        <f>C38+C39+C40+C41</f>
        <v>20588313</v>
      </c>
      <c r="D42" s="22">
        <f t="shared" ref="D42:J42" si="11">D38+D39+D40+D41</f>
        <v>24743567</v>
      </c>
      <c r="E42" s="22">
        <f t="shared" si="11"/>
        <v>26615488</v>
      </c>
      <c r="F42" s="83">
        <f t="shared" si="11"/>
        <v>39290324.423659287</v>
      </c>
      <c r="G42" s="83">
        <f t="shared" si="11"/>
        <v>55277246.20908241</v>
      </c>
      <c r="H42" s="83">
        <f t="shared" si="11"/>
        <v>74456563.191591695</v>
      </c>
      <c r="I42" s="83">
        <f t="shared" si="11"/>
        <v>96987594.187283128</v>
      </c>
      <c r="J42" s="83">
        <f t="shared" si="11"/>
        <v>122814972.54828066</v>
      </c>
    </row>
    <row r="43" spans="2:12" ht="15" thickBot="1" x14ac:dyDescent="0.35">
      <c r="B43" s="56" t="s">
        <v>39</v>
      </c>
      <c r="C43" s="10">
        <f>C36+C42</f>
        <v>48731992</v>
      </c>
      <c r="D43" s="10">
        <f>D36+D42</f>
        <v>53630374</v>
      </c>
      <c r="E43" s="10">
        <f>E36+E42</f>
        <v>55596993</v>
      </c>
      <c r="F43" s="78">
        <f>F36+F42</f>
        <v>70562576.782827914</v>
      </c>
      <c r="G43" s="78">
        <f t="shared" ref="G43:J43" si="12">G36+G42</f>
        <v>87314762.620357141</v>
      </c>
      <c r="H43" s="78">
        <f t="shared" si="12"/>
        <v>105272813.40793869</v>
      </c>
      <c r="I43" s="78">
        <f t="shared" si="12"/>
        <v>125613766.67945221</v>
      </c>
      <c r="J43" s="78">
        <f t="shared" si="12"/>
        <v>151160202.13116646</v>
      </c>
    </row>
    <row r="44" spans="2:12" x14ac:dyDescent="0.3">
      <c r="B44" s="1"/>
      <c r="C44" s="1"/>
      <c r="D44" s="1"/>
      <c r="E44" s="1"/>
      <c r="F44" s="1"/>
      <c r="G44" s="1"/>
      <c r="H44" s="1"/>
      <c r="I44" s="1"/>
      <c r="J44" s="1"/>
    </row>
    <row r="45" spans="2:12" x14ac:dyDescent="0.3">
      <c r="B45" s="15" t="s">
        <v>41</v>
      </c>
      <c r="C45" s="26">
        <f>ROUND(C43-C20,0)</f>
        <v>0</v>
      </c>
      <c r="D45" s="26">
        <f t="shared" ref="D45:J45" si="13">ROUND(D43-D20,0)</f>
        <v>0</v>
      </c>
      <c r="E45" s="26">
        <f t="shared" si="13"/>
        <v>0</v>
      </c>
      <c r="F45" s="26">
        <f t="shared" si="13"/>
        <v>0</v>
      </c>
      <c r="G45" s="26">
        <f t="shared" si="13"/>
        <v>0</v>
      </c>
      <c r="H45" s="26">
        <f t="shared" si="13"/>
        <v>0</v>
      </c>
      <c r="I45" s="26">
        <f t="shared" si="13"/>
        <v>0</v>
      </c>
      <c r="J45" s="26">
        <f t="shared" si="13"/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3FF7-324D-4A8D-A3D2-39A8BE44327C}">
  <dimension ref="B6:I31"/>
  <sheetViews>
    <sheetView showGridLines="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21" sqref="E21"/>
    </sheetView>
  </sheetViews>
  <sheetFormatPr defaultRowHeight="14.4" x14ac:dyDescent="0.3"/>
  <cols>
    <col min="1" max="1" width="2.33203125" customWidth="1"/>
    <col min="2" max="2" width="40.77734375" customWidth="1"/>
    <col min="3" max="9" width="13.77734375" customWidth="1"/>
  </cols>
  <sheetData>
    <row r="6" spans="2:9" ht="15.6" x14ac:dyDescent="0.3">
      <c r="B6" s="4" t="s">
        <v>115</v>
      </c>
      <c r="C6" s="4"/>
      <c r="D6" s="4"/>
      <c r="E6" s="5"/>
      <c r="F6" s="5"/>
      <c r="G6" s="5"/>
      <c r="H6" s="5"/>
      <c r="I6" s="5"/>
    </row>
    <row r="8" spans="2:9" x14ac:dyDescent="0.3">
      <c r="B8" s="6" t="s">
        <v>40</v>
      </c>
      <c r="C8" s="74">
        <v>2024</v>
      </c>
      <c r="D8" s="74">
        <f>C8+1</f>
        <v>2025</v>
      </c>
      <c r="E8" s="24">
        <v>2026</v>
      </c>
      <c r="F8" s="24">
        <f>E8+1</f>
        <v>2027</v>
      </c>
      <c r="G8" s="24">
        <f t="shared" ref="G8:I8" si="0">F8+1</f>
        <v>2028</v>
      </c>
      <c r="H8" s="24">
        <f t="shared" si="0"/>
        <v>2029</v>
      </c>
      <c r="I8" s="24">
        <f t="shared" si="0"/>
        <v>2030</v>
      </c>
    </row>
    <row r="9" spans="2:9" x14ac:dyDescent="0.3">
      <c r="B9" t="s">
        <v>116</v>
      </c>
      <c r="C9" s="8">
        <f>'FORECASTED P&amp;L '!D20</f>
        <v>10088700</v>
      </c>
      <c r="D9" s="8">
        <f>'FORECASTED P&amp;L '!E20</f>
        <v>12993214</v>
      </c>
      <c r="E9" s="35">
        <f>'FORECASTED P&amp;L '!F20</f>
        <v>15762889.586331252</v>
      </c>
      <c r="F9" s="35">
        <f>'FORECASTED P&amp;L '!G20</f>
        <v>19035983.050900195</v>
      </c>
      <c r="G9" s="35">
        <f>'FORECASTED P&amp;L '!H20</f>
        <v>22648425.217804451</v>
      </c>
      <c r="H9" s="35">
        <f>'FORECASTED P&amp;L '!I20</f>
        <v>26461738.91905506</v>
      </c>
      <c r="I9" s="35">
        <f>'FORECASTED P&amp;L '!J20</f>
        <v>30364620.788103603</v>
      </c>
    </row>
    <row r="10" spans="2:9" x14ac:dyDescent="0.3">
      <c r="B10" t="s">
        <v>117</v>
      </c>
      <c r="C10" s="35">
        <f>-(C9*C11)</f>
        <v>-1269509.0856729266</v>
      </c>
      <c r="D10" s="35">
        <f t="shared" ref="D10:I10" si="1">-(D9*D11)</f>
        <v>-1778396.8336002084</v>
      </c>
      <c r="E10" s="35">
        <f t="shared" si="1"/>
        <v>-2236300.1115035177</v>
      </c>
      <c r="F10" s="35">
        <f t="shared" si="1"/>
        <v>-2795837.7347587235</v>
      </c>
      <c r="G10" s="35">
        <f t="shared" si="1"/>
        <v>-3439643.5883872532</v>
      </c>
      <c r="H10" s="35">
        <f t="shared" si="1"/>
        <v>-4151084.8229661384</v>
      </c>
      <c r="I10" s="35">
        <f t="shared" si="1"/>
        <v>-4915157.7016472975</v>
      </c>
    </row>
    <row r="11" spans="2:9" x14ac:dyDescent="0.3">
      <c r="B11" s="29" t="s">
        <v>118</v>
      </c>
      <c r="C11" s="37">
        <f>'FORECASTED P&amp;L '!D26</f>
        <v>0.12583475429668109</v>
      </c>
      <c r="D11" s="37">
        <f>'FORECASTED P&amp;L '!E26</f>
        <v>0.13687120319885507</v>
      </c>
      <c r="E11" s="37">
        <f>'FORECASTED P&amp;L '!F26</f>
        <v>0.14187120319885507</v>
      </c>
      <c r="F11" s="37">
        <f>'FORECASTED P&amp;L '!G26</f>
        <v>0.14687120319885508</v>
      </c>
      <c r="G11" s="37">
        <f>'FORECASTED P&amp;L '!H26</f>
        <v>0.15187120319885508</v>
      </c>
      <c r="H11" s="37">
        <f>'FORECASTED P&amp;L '!I26</f>
        <v>0.15687120319885509</v>
      </c>
      <c r="I11" s="37">
        <f>'FORECASTED P&amp;L '!J26</f>
        <v>0.16187120319885509</v>
      </c>
    </row>
    <row r="12" spans="2:9" x14ac:dyDescent="0.3">
      <c r="B12" s="70" t="s">
        <v>119</v>
      </c>
      <c r="C12" s="52">
        <f>C9+C10</f>
        <v>8819190.9143270738</v>
      </c>
      <c r="D12" s="52">
        <f>D9+D10</f>
        <v>11214817.166399792</v>
      </c>
      <c r="E12" s="52">
        <f>E9+E10</f>
        <v>13526589.474827735</v>
      </c>
      <c r="F12" s="52">
        <f t="shared" ref="F12:I12" si="2">F9+F10</f>
        <v>16240145.316141471</v>
      </c>
      <c r="G12" s="52">
        <f t="shared" si="2"/>
        <v>19208781.629417196</v>
      </c>
      <c r="H12" s="52">
        <f t="shared" si="2"/>
        <v>22310654.09608892</v>
      </c>
      <c r="I12" s="52">
        <f t="shared" si="2"/>
        <v>25449463.086456306</v>
      </c>
    </row>
    <row r="13" spans="2:9" x14ac:dyDescent="0.3">
      <c r="B13" t="s">
        <v>120</v>
      </c>
      <c r="C13" s="8">
        <f>SCHEDULES!D24</f>
        <v>15301517</v>
      </c>
      <c r="D13" s="8">
        <f>SCHEDULES!E24</f>
        <v>16422166</v>
      </c>
      <c r="E13" s="35">
        <f>SCHEDULES!F24</f>
        <v>16176650.993018895</v>
      </c>
      <c r="F13" s="35">
        <f>SCHEDULES!G24</f>
        <v>17298179.788925007</v>
      </c>
      <c r="G13" s="35">
        <f>SCHEDULES!H24</f>
        <v>18734665.171413898</v>
      </c>
      <c r="H13" s="35">
        <f>SCHEDULES!I24</f>
        <v>20341248.294995289</v>
      </c>
      <c r="I13" s="35">
        <f>SCHEDULES!J24</f>
        <v>21993918.985899504</v>
      </c>
    </row>
    <row r="14" spans="2:9" x14ac:dyDescent="0.3">
      <c r="B14" t="s">
        <v>121</v>
      </c>
      <c r="C14" s="8">
        <f>SCHEDULES!D14</f>
        <v>328914</v>
      </c>
      <c r="D14" s="8">
        <f>SCHEDULES!E14</f>
        <v>333389</v>
      </c>
      <c r="E14" s="35">
        <f>SCHEDULES!F14</f>
        <v>249144.31376767834</v>
      </c>
      <c r="F14" s="35">
        <f>SCHEDULES!G14</f>
        <v>316123.64969545125</v>
      </c>
      <c r="G14" s="35">
        <f>SCHEDULES!H14</f>
        <v>397187.22648903442</v>
      </c>
      <c r="H14" s="35">
        <f>SCHEDULES!I14</f>
        <v>492061.22598282091</v>
      </c>
      <c r="I14" s="35">
        <f>SCHEDULES!J14</f>
        <v>599899.98296399345</v>
      </c>
    </row>
    <row r="15" spans="2:9" x14ac:dyDescent="0.3">
      <c r="B15" s="70" t="s">
        <v>122</v>
      </c>
      <c r="C15" s="52">
        <f>C12+C13+C14</f>
        <v>24449621.914327074</v>
      </c>
      <c r="D15" s="52">
        <f>D12+D13+D14</f>
        <v>27970372.166399792</v>
      </c>
      <c r="E15" s="52">
        <f>E12+E13+E14</f>
        <v>29952384.781614311</v>
      </c>
      <c r="F15" s="52">
        <f t="shared" ref="F15:I15" si="3">F12+F13+F14</f>
        <v>33854448.754761927</v>
      </c>
      <c r="G15" s="52">
        <f t="shared" si="3"/>
        <v>38340634.027320132</v>
      </c>
      <c r="H15" s="52">
        <f t="shared" si="3"/>
        <v>43143963.617067032</v>
      </c>
      <c r="I15" s="52">
        <f t="shared" si="3"/>
        <v>48043282.055319801</v>
      </c>
    </row>
    <row r="16" spans="2:9" x14ac:dyDescent="0.3">
      <c r="B16" t="s">
        <v>77</v>
      </c>
      <c r="C16" s="35">
        <f>'OPERATING ASSUMPTIONS &amp; WORKING'!D31-'OPERATING ASSUMPTIONS &amp; WORKING'!C31</f>
        <v>152497</v>
      </c>
      <c r="D16" s="35">
        <f>'OPERATING ASSUMPTIONS &amp; WORKING'!E31-'OPERATING ASSUMPTIONS &amp; WORKING'!D31</f>
        <v>703</v>
      </c>
      <c r="E16" s="35">
        <f>'OPERATING ASSUMPTIONS &amp; WORKING'!F31-'OPERATING ASSUMPTIONS &amp; WORKING'!E31</f>
        <v>142851.60596915032</v>
      </c>
      <c r="F16" s="35">
        <f>'OPERATING ASSUMPTIONS &amp; WORKING'!G31-'OPERATING ASSUMPTIONS &amp; WORKING'!F31</f>
        <v>125248.33529989514</v>
      </c>
      <c r="G16" s="35">
        <f>'OPERATING ASSUMPTIONS &amp; WORKING'!H31-'OPERATING ASSUMPTIONS &amp; WORKING'!G31</f>
        <v>79683.909064003034</v>
      </c>
      <c r="H16" s="35">
        <f>'OPERATING ASSUMPTIONS &amp; WORKING'!I31-'OPERATING ASSUMPTIONS &amp; WORKING'!H31</f>
        <v>100749.99020861066</v>
      </c>
      <c r="I16" s="35">
        <f>'OPERATING ASSUMPTIONS &amp; WORKING'!J31-'OPERATING ASSUMPTIONS &amp; WORKING'!I31</f>
        <v>76122.347557369387</v>
      </c>
    </row>
    <row r="17" spans="2:9" x14ac:dyDescent="0.3">
      <c r="B17" t="s">
        <v>79</v>
      </c>
      <c r="C17" s="35">
        <f>'OPERATING ASSUMPTIONS &amp; WORKING'!D35-'OPERATING ASSUMPTIONS &amp; WORKING'!C35</f>
        <v>77844</v>
      </c>
      <c r="D17" s="35">
        <f>'OPERATING ASSUMPTIONS &amp; WORKING'!E35-'OPERATING ASSUMPTIONS &amp; WORKING'!D35</f>
        <v>254917</v>
      </c>
      <c r="E17" s="35">
        <f>'OPERATING ASSUMPTIONS &amp; WORKING'!F35-'OPERATING ASSUMPTIONS &amp; WORKING'!E35</f>
        <v>256487.57183218468</v>
      </c>
      <c r="F17" s="35">
        <f>'OPERATING ASSUMPTIONS &amp; WORKING'!G35-'OPERATING ASSUMPTIONS &amp; WORKING'!F35</f>
        <v>281689.25412669592</v>
      </c>
      <c r="G17" s="35">
        <f>'OPERATING ASSUMPTIONS &amp; WORKING'!H35-'OPERATING ASSUMPTIONS &amp; WORKING'!G35</f>
        <v>283733.10120511241</v>
      </c>
      <c r="H17" s="35">
        <f>'OPERATING ASSUMPTIONS &amp; WORKING'!I35-'OPERATING ASSUMPTIONS &amp; WORKING'!H35</f>
        <v>279779.94825826492</v>
      </c>
      <c r="I17" s="35">
        <f>'OPERATING ASSUMPTIONS &amp; WORKING'!J35-'OPERATING ASSUMPTIONS &amp; WORKING'!I35</f>
        <v>259912.16224423191</v>
      </c>
    </row>
    <row r="18" spans="2:9" x14ac:dyDescent="0.3">
      <c r="B18" t="s">
        <v>123</v>
      </c>
      <c r="C18" s="35">
        <f>'OPERATING ASSUMPTIONS &amp; WORKING'!D33-'OPERATING ASSUMPTIONS &amp; WORKING'!C33</f>
        <v>352584</v>
      </c>
      <c r="D18" s="35">
        <f>'OPERATING ASSUMPTIONS &amp; WORKING'!E33-'OPERATING ASSUMPTIONS &amp; WORKING'!D33</f>
        <v>1064325</v>
      </c>
      <c r="E18" s="35">
        <f>'OPERATING ASSUMPTIONS &amp; WORKING'!F33-'OPERATING ASSUMPTIONS &amp; WORKING'!E33</f>
        <v>479657.66226183902</v>
      </c>
      <c r="F18" s="35">
        <f>'OPERATING ASSUMPTIONS &amp; WORKING'!G33-'OPERATING ASSUMPTIONS &amp; WORKING'!F33</f>
        <v>504703.49880237225</v>
      </c>
      <c r="G18" s="35">
        <f>'OPERATING ASSUMPTIONS &amp; WORKING'!H33-'OPERATING ASSUMPTIONS &amp; WORKING'!G33</f>
        <v>520265.4348401092</v>
      </c>
      <c r="H18" s="35">
        <f>'OPERATING ASSUMPTIONS &amp; WORKING'!I33-'OPERATING ASSUMPTIONS &amp; WORKING'!H33</f>
        <v>506403.32356246188</v>
      </c>
      <c r="I18" s="35">
        <f>'OPERATING ASSUMPTIONS &amp; WORKING'!J33-'OPERATING ASSUMPTIONS &amp; WORKING'!I33</f>
        <v>473982.34664881602</v>
      </c>
    </row>
    <row r="19" spans="2:9" x14ac:dyDescent="0.3">
      <c r="B19" s="54" t="s">
        <v>75</v>
      </c>
      <c r="C19" s="35">
        <f>-('OPERATING ASSUMPTIONS &amp; WORKING'!D27-'OPERATING ASSUMPTIONS &amp; WORKING'!C27)</f>
        <v>-736393</v>
      </c>
      <c r="D19" s="35">
        <f>-('OPERATING ASSUMPTIONS &amp; WORKING'!E27-'OPERATING ASSUMPTIONS &amp; WORKING'!D27)</f>
        <v>-441192</v>
      </c>
      <c r="E19" s="35">
        <f>-('OPERATING ASSUMPTIONS &amp; WORKING'!F27-'OPERATING ASSUMPTIONS &amp; WORKING'!E27)</f>
        <v>-548274.27058813069</v>
      </c>
      <c r="F19" s="35">
        <f>-('OPERATING ASSUMPTIONS &amp; WORKING'!G27-'OPERATING ASSUMPTIONS &amp; WORKING'!F27)</f>
        <v>-696321.61404469609</v>
      </c>
      <c r="G19" s="35">
        <f>-('OPERATING ASSUMPTIONS &amp; WORKING'!H27-'OPERATING ASSUMPTIONS &amp; WORKING'!G27)</f>
        <v>-599905.31871436909</v>
      </c>
      <c r="H19" s="35">
        <f>-('OPERATING ASSUMPTIONS &amp; WORKING'!I27-'OPERATING ASSUMPTIONS &amp; WORKING'!H27)</f>
        <v>-620178.84313398693</v>
      </c>
      <c r="I19" s="35">
        <f>-('OPERATING ASSUMPTIONS &amp; WORKING'!J27-'OPERATING ASSUMPTIONS &amp; WORKING'!I27)</f>
        <v>-600627.14030661713</v>
      </c>
    </row>
    <row r="20" spans="2:9" x14ac:dyDescent="0.3">
      <c r="B20" s="70" t="s">
        <v>124</v>
      </c>
      <c r="C20" s="52">
        <f>C16+C17+C18+C19</f>
        <v>-153468</v>
      </c>
      <c r="D20" s="52">
        <f>D16+D17+D18+D19</f>
        <v>878753</v>
      </c>
      <c r="E20" s="52">
        <f>E16+E17+E18+E19</f>
        <v>330722.56947504333</v>
      </c>
      <c r="F20" s="52">
        <f t="shared" ref="F20:I20" si="4">F16+F17+F18+F19</f>
        <v>215319.47418426722</v>
      </c>
      <c r="G20" s="52">
        <f t="shared" si="4"/>
        <v>283777.12639485556</v>
      </c>
      <c r="H20" s="52">
        <f t="shared" si="4"/>
        <v>266754.41889535054</v>
      </c>
      <c r="I20" s="52">
        <f t="shared" si="4"/>
        <v>209389.71614380018</v>
      </c>
    </row>
    <row r="21" spans="2:9" x14ac:dyDescent="0.3">
      <c r="B21" t="s">
        <v>125</v>
      </c>
      <c r="C21" s="8">
        <f>SCHEDULES!D22</f>
        <v>16223617</v>
      </c>
      <c r="D21" s="8">
        <f>SCHEDULES!E22</f>
        <v>17096617</v>
      </c>
      <c r="E21" s="35">
        <f>SCHEDULES!F22</f>
        <v>17566205.228148539</v>
      </c>
      <c r="F21" s="35">
        <f>SCHEDULES!G22</f>
        <v>19667046.844053227</v>
      </c>
      <c r="G21" s="35">
        <f>SCHEDULES!H22</f>
        <v>21768776.20821698</v>
      </c>
      <c r="H21" s="35">
        <f>SCHEDULES!I22</f>
        <v>23734635.826968696</v>
      </c>
      <c r="I21" s="35">
        <f>SCHEDULES!J22</f>
        <v>25484651.606363334</v>
      </c>
    </row>
    <row r="22" spans="2:9" x14ac:dyDescent="0.3">
      <c r="B22" t="s">
        <v>126</v>
      </c>
      <c r="C22" s="8">
        <f>SCHEDULES!D12</f>
        <v>439538</v>
      </c>
      <c r="D22" s="8">
        <f>SCHEDULES!E12</f>
        <v>688220</v>
      </c>
      <c r="E22" s="35">
        <f>SCHEDULES!F12</f>
        <v>920490.41206012538</v>
      </c>
      <c r="F22" s="35">
        <f>SCHEDULES!G12</f>
        <v>1193512.9402114339</v>
      </c>
      <c r="G22" s="35">
        <f>SCHEDULES!H12</f>
        <v>1506898.4057470728</v>
      </c>
      <c r="H22" s="35">
        <f>SCHEDULES!I12</f>
        <v>1851869.246039412</v>
      </c>
      <c r="I22" s="35">
        <f>SCHEDULES!J12</f>
        <v>2219747.0894342209</v>
      </c>
    </row>
    <row r="23" spans="2:9" x14ac:dyDescent="0.3">
      <c r="B23" s="71" t="s">
        <v>127</v>
      </c>
      <c r="C23" s="72">
        <f>-(C21+C22)</f>
        <v>-16663155</v>
      </c>
      <c r="D23" s="72">
        <f>-(D21+D22)</f>
        <v>-17784837</v>
      </c>
      <c r="E23" s="72">
        <f>-(E21+E22)</f>
        <v>-18486695.640208665</v>
      </c>
      <c r="F23" s="72">
        <f t="shared" ref="F23:I23" si="5">-(F21+F22)</f>
        <v>-20860559.784264661</v>
      </c>
      <c r="G23" s="72">
        <f t="shared" si="5"/>
        <v>-23275674.613964051</v>
      </c>
      <c r="H23" s="72">
        <f t="shared" si="5"/>
        <v>-25586505.073008109</v>
      </c>
      <c r="I23" s="72">
        <f t="shared" si="5"/>
        <v>-27704398.695797555</v>
      </c>
    </row>
    <row r="24" spans="2:9" ht="15" thickBot="1" x14ac:dyDescent="0.35">
      <c r="B24" s="69" t="s">
        <v>128</v>
      </c>
      <c r="C24" s="53">
        <f>C15+C20+C23</f>
        <v>7632998.9143270738</v>
      </c>
      <c r="D24" s="53">
        <f>D15+D20+D23</f>
        <v>11064288.166399792</v>
      </c>
      <c r="E24" s="53">
        <f>E15+E20+E23</f>
        <v>11796411.710880689</v>
      </c>
      <c r="F24" s="53">
        <f t="shared" ref="F24:I24" si="6">F15+F20+F23</f>
        <v>13209208.444681533</v>
      </c>
      <c r="G24" s="53">
        <f t="shared" si="6"/>
        <v>15348736.539750934</v>
      </c>
      <c r="H24" s="53">
        <f t="shared" si="6"/>
        <v>17824212.962954272</v>
      </c>
      <c r="I24" s="53">
        <f t="shared" si="6"/>
        <v>20548273.075666048</v>
      </c>
    </row>
    <row r="25" spans="2:9" x14ac:dyDescent="0.3">
      <c r="B25" t="s">
        <v>129</v>
      </c>
      <c r="C25" s="8">
        <f>SCHEDULES!D32</f>
        <v>-400000</v>
      </c>
      <c r="D25" s="8">
        <f>SCHEDULES!E32</f>
        <v>-1833450</v>
      </c>
      <c r="E25" s="35">
        <f>SCHEDULES!F32</f>
        <v>-1000000</v>
      </c>
      <c r="F25" s="35">
        <f>SCHEDULES!G32</f>
        <v>-1526000</v>
      </c>
      <c r="G25" s="35">
        <f>SCHEDULES!H32</f>
        <v>-3500000</v>
      </c>
      <c r="H25" s="35">
        <f>SCHEDULES!I32</f>
        <v>-4401000</v>
      </c>
      <c r="I25" s="35">
        <f>SCHEDULES!J32</f>
        <v>-2292000</v>
      </c>
    </row>
    <row r="26" spans="2:9" x14ac:dyDescent="0.3">
      <c r="B26" t="s">
        <v>98</v>
      </c>
      <c r="C26" s="8">
        <f>SCHEDULES!D36</f>
        <v>-718733</v>
      </c>
      <c r="D26" s="8">
        <f>SCHEDULES!E36</f>
        <v>-776510</v>
      </c>
      <c r="E26" s="35">
        <f>SCHEDULES!F36</f>
        <v>-615117.28882612183</v>
      </c>
      <c r="F26" s="35">
        <f>SCHEDULES!G36</f>
        <v>-533457.47746278357</v>
      </c>
      <c r="G26" s="35">
        <f>SCHEDULES!H36</f>
        <v>-368605.56035420991</v>
      </c>
      <c r="H26" s="35">
        <f>SCHEDULES!I36</f>
        <v>-172289.93236597191</v>
      </c>
      <c r="I26" s="35">
        <f>SCHEDULES!J36</f>
        <v>-72700.563251443076</v>
      </c>
    </row>
    <row r="27" spans="2:9" x14ac:dyDescent="0.3">
      <c r="B27" t="s">
        <v>130</v>
      </c>
      <c r="C27" s="35">
        <f>'FORECASTED P&amp;L '!D25-'FORECASTED CASH FLOW STATEMENT'!C10</f>
        <v>15483.085672926623</v>
      </c>
      <c r="D27" s="35">
        <f>'FORECASTED P&amp;L '!E25-'FORECASTED CASH FLOW STATEMENT'!D10</f>
        <v>37045.833600208396</v>
      </c>
      <c r="E27" s="35">
        <f>'FORECASTED P&amp;L '!F25-'FORECASTED CASH FLOW STATEMENT'!E10</f>
        <v>29308.929983434733</v>
      </c>
      <c r="F27" s="35">
        <f>'FORECASTED P&amp;L '!G25-'FORECASTED CASH FLOW STATEMENT'!F10</f>
        <v>5318.3765418785624</v>
      </c>
      <c r="G27" s="35">
        <f>'FORECASTED P&amp;L '!H25-'FORECASTED CASH FLOW STATEMENT'!G10</f>
        <v>-35251.218039647676</v>
      </c>
      <c r="H27" s="35">
        <f>'FORECASTED P&amp;L '!I25-'FORECASTED CASH FLOW STATEMENT'!H10</f>
        <v>-85512.597582731862</v>
      </c>
      <c r="I27" s="35">
        <f>'FORECASTED P&amp;L '!J25-'FORECASTED CASH FLOW STATEMENT'!I10</f>
        <v>-125119.37382107414</v>
      </c>
    </row>
    <row r="28" spans="2:9" ht="15" thickBot="1" x14ac:dyDescent="0.35">
      <c r="B28" s="69" t="s">
        <v>131</v>
      </c>
      <c r="C28" s="53">
        <f>C24+C25+C26+C27</f>
        <v>6529749</v>
      </c>
      <c r="D28" s="53">
        <f>D24+D25+D26+D27</f>
        <v>8491374</v>
      </c>
      <c r="E28" s="53">
        <f>E24+E25+E26+E27</f>
        <v>10210603.352038004</v>
      </c>
      <c r="F28" s="53">
        <f t="shared" ref="F28:I28" si="7">F24+F25+F26+F27</f>
        <v>11155069.343760628</v>
      </c>
      <c r="G28" s="53">
        <f t="shared" si="7"/>
        <v>11444879.761357076</v>
      </c>
      <c r="H28" s="53">
        <f t="shared" si="7"/>
        <v>13165410.433005568</v>
      </c>
      <c r="I28" s="53">
        <f t="shared" si="7"/>
        <v>18058453.138593532</v>
      </c>
    </row>
    <row r="31" spans="2:9" x14ac:dyDescent="0.3">
      <c r="D31" s="7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B304-E19B-461C-99B9-A37766EF2676}">
  <dimension ref="B6:G34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35" sqref="E35"/>
    </sheetView>
  </sheetViews>
  <sheetFormatPr defaultRowHeight="14.4" x14ac:dyDescent="0.3"/>
  <cols>
    <col min="1" max="1" width="2.33203125" customWidth="1"/>
    <col min="2" max="2" width="40.77734375" customWidth="1"/>
    <col min="3" max="7" width="13.77734375" customWidth="1"/>
  </cols>
  <sheetData>
    <row r="6" spans="2:7" ht="15.6" x14ac:dyDescent="0.3">
      <c r="B6" s="4" t="s">
        <v>135</v>
      </c>
      <c r="C6" s="4"/>
      <c r="D6" s="4"/>
      <c r="E6" s="5"/>
      <c r="F6" s="5"/>
      <c r="G6" s="5"/>
    </row>
    <row r="8" spans="2:7" x14ac:dyDescent="0.3">
      <c r="B8" s="84" t="s">
        <v>136</v>
      </c>
      <c r="C8" s="74"/>
      <c r="D8" s="74"/>
      <c r="E8" s="24"/>
      <c r="F8" s="24"/>
      <c r="G8" s="24"/>
    </row>
    <row r="9" spans="2:7" x14ac:dyDescent="0.3">
      <c r="B9" t="s">
        <v>137</v>
      </c>
      <c r="C9" s="85">
        <v>4.36E-2</v>
      </c>
    </row>
    <row r="10" spans="2:7" x14ac:dyDescent="0.3">
      <c r="B10" t="s">
        <v>138</v>
      </c>
      <c r="C10" s="85">
        <v>4.4600000000000001E-2</v>
      </c>
    </row>
    <row r="11" spans="2:7" x14ac:dyDescent="0.3">
      <c r="B11" t="s">
        <v>139</v>
      </c>
      <c r="C11" s="86">
        <v>1.1000000000000001</v>
      </c>
    </row>
    <row r="12" spans="2:7" x14ac:dyDescent="0.3">
      <c r="B12" s="70" t="s">
        <v>136</v>
      </c>
      <c r="C12" s="99">
        <f>C9+C11*C10</f>
        <v>9.2660000000000006E-2</v>
      </c>
      <c r="D12" s="100"/>
      <c r="E12" s="100"/>
      <c r="F12" s="100"/>
      <c r="G12" s="100"/>
    </row>
    <row r="14" spans="2:7" x14ac:dyDescent="0.3">
      <c r="B14" s="84" t="s">
        <v>141</v>
      </c>
      <c r="C14" s="74"/>
      <c r="D14" s="74"/>
      <c r="E14" s="24"/>
      <c r="F14" s="24"/>
      <c r="G14" s="24"/>
    </row>
    <row r="15" spans="2:7" x14ac:dyDescent="0.3">
      <c r="B15" s="87" t="s">
        <v>140</v>
      </c>
      <c r="C15" s="88">
        <f>C9+0.9%</f>
        <v>5.2600000000000001E-2</v>
      </c>
    </row>
    <row r="16" spans="2:7" x14ac:dyDescent="0.3">
      <c r="B16" t="s">
        <v>118</v>
      </c>
      <c r="C16" s="88">
        <f>'FORECASTED P&amp;L '!F26</f>
        <v>0.14187120319885507</v>
      </c>
    </row>
    <row r="17" spans="2:7" x14ac:dyDescent="0.3">
      <c r="B17" s="70" t="s">
        <v>141</v>
      </c>
      <c r="C17" s="99">
        <f>C15*(1-C16)</f>
        <v>4.5137574711740222E-2</v>
      </c>
      <c r="D17" s="100"/>
      <c r="E17" s="100"/>
      <c r="F17" s="100"/>
      <c r="G17" s="100"/>
    </row>
    <row r="19" spans="2:7" x14ac:dyDescent="0.3">
      <c r="B19" s="84" t="s">
        <v>142</v>
      </c>
      <c r="C19" s="74"/>
      <c r="D19" s="74"/>
      <c r="E19" s="24"/>
      <c r="F19" s="24"/>
      <c r="G19" s="24"/>
    </row>
    <row r="20" spans="2:7" x14ac:dyDescent="0.3">
      <c r="B20" t="s">
        <v>143</v>
      </c>
      <c r="C20" s="8">
        <v>391442000</v>
      </c>
    </row>
    <row r="21" spans="2:7" x14ac:dyDescent="0.3">
      <c r="B21" t="s">
        <v>144</v>
      </c>
      <c r="C21" s="8">
        <f>'FORECASTED BALANCE SHEET'!F29+'FORECASTED BALANCE SHEET'!F33</f>
        <v>13462836</v>
      </c>
    </row>
    <row r="22" spans="2:7" x14ac:dyDescent="0.3">
      <c r="B22" s="70" t="s">
        <v>145</v>
      </c>
      <c r="C22" s="101">
        <f>C20+C21</f>
        <v>404904836</v>
      </c>
      <c r="D22" s="100"/>
      <c r="E22" s="100"/>
      <c r="F22" s="100"/>
      <c r="G22" s="100"/>
    </row>
    <row r="23" spans="2:7" x14ac:dyDescent="0.3">
      <c r="B23" t="s">
        <v>146</v>
      </c>
      <c r="C23" s="87">
        <f>C20/C22</f>
        <v>0.96675061692767728</v>
      </c>
    </row>
    <row r="24" spans="2:7" x14ac:dyDescent="0.3">
      <c r="B24" t="s">
        <v>147</v>
      </c>
      <c r="C24" s="87">
        <f>C21/C22</f>
        <v>3.3249383072322704E-2</v>
      </c>
    </row>
    <row r="25" spans="2:7" ht="15" thickBot="1" x14ac:dyDescent="0.35">
      <c r="B25" s="69" t="s">
        <v>142</v>
      </c>
      <c r="C25" s="102">
        <f>C12*C23+C17*C24</f>
        <v>9.1079908677064822E-2</v>
      </c>
      <c r="D25" s="103"/>
      <c r="E25" s="103"/>
      <c r="F25" s="103"/>
      <c r="G25" s="103"/>
    </row>
    <row r="26" spans="2:7" x14ac:dyDescent="0.3">
      <c r="B26" s="89" t="s">
        <v>152</v>
      </c>
      <c r="C26" s="91">
        <v>3.5000000000000003E-2</v>
      </c>
    </row>
    <row r="28" spans="2:7" x14ac:dyDescent="0.3">
      <c r="B28" s="84" t="s">
        <v>161</v>
      </c>
      <c r="C28" s="74"/>
      <c r="D28" s="74"/>
      <c r="E28" s="24"/>
      <c r="F28" s="24"/>
      <c r="G28" s="24"/>
    </row>
    <row r="29" spans="2:7" x14ac:dyDescent="0.3">
      <c r="B29" s="98">
        <f>DCF!C22</f>
        <v>73.609363855072118</v>
      </c>
      <c r="C29" s="97">
        <v>2.5000000000000001E-2</v>
      </c>
      <c r="D29" s="97">
        <v>0.03</v>
      </c>
      <c r="E29" s="107">
        <v>3.5000000000000003E-2</v>
      </c>
      <c r="F29" s="97">
        <v>0.04</v>
      </c>
      <c r="G29" s="97">
        <v>4.4999999999999998E-2</v>
      </c>
    </row>
    <row r="30" spans="2:7" x14ac:dyDescent="0.3">
      <c r="B30" s="96">
        <v>8.1100000000000005E-2</v>
      </c>
      <c r="C30" s="95">
        <f t="dataTable" ref="C30:G34" dt2D="1" dtr="1" r1="C26" r2="C25"/>
        <v>76.142688201977904</v>
      </c>
      <c r="D30" s="95">
        <v>82.359756684103047</v>
      </c>
      <c r="E30" s="95">
        <v>89.925430043044912</v>
      </c>
      <c r="F30" s="95">
        <v>99.331899839685548</v>
      </c>
      <c r="G30" s="95">
        <v>111.34403994010474</v>
      </c>
    </row>
    <row r="31" spans="2:7" x14ac:dyDescent="0.3">
      <c r="B31" s="96">
        <v>8.6099999999999996E-2</v>
      </c>
      <c r="C31" s="95">
        <v>69.743635116272173</v>
      </c>
      <c r="D31" s="95">
        <v>74.848092187523278</v>
      </c>
      <c r="E31" s="95">
        <v>80.951464536905689</v>
      </c>
      <c r="F31" s="95">
        <v>88.378778827585805</v>
      </c>
      <c r="G31" s="95">
        <v>97.613225549088341</v>
      </c>
    </row>
    <row r="32" spans="2:7" x14ac:dyDescent="0.3">
      <c r="B32" s="106">
        <v>9.11E-2</v>
      </c>
      <c r="C32" s="95">
        <v>64.317501363108974</v>
      </c>
      <c r="D32" s="95">
        <v>68.570859861502171</v>
      </c>
      <c r="E32" s="108">
        <v>73.582392780286284</v>
      </c>
      <c r="F32" s="113">
        <v>79.574656211552636</v>
      </c>
      <c r="G32" s="95">
        <v>86.866759866521008</v>
      </c>
    </row>
    <row r="33" spans="2:7" x14ac:dyDescent="0.3">
      <c r="B33" s="96">
        <v>9.6100000000000005E-2</v>
      </c>
      <c r="C33" s="95">
        <v>59.658921570221068</v>
      </c>
      <c r="D33" s="95">
        <v>63.247819531884986</v>
      </c>
      <c r="E33" s="95">
        <v>67.42409850200454</v>
      </c>
      <c r="F33" s="95">
        <v>72.344812226156122</v>
      </c>
      <c r="G33" s="95">
        <v>78.228483626266893</v>
      </c>
    </row>
    <row r="34" spans="2:7" x14ac:dyDescent="0.3">
      <c r="B34" s="96">
        <v>0.1011</v>
      </c>
      <c r="C34" s="95">
        <v>55.616505803152464</v>
      </c>
      <c r="D34" s="95">
        <v>58.677563911714678</v>
      </c>
      <c r="E34" s="95">
        <v>62.201717044265123</v>
      </c>
      <c r="F34" s="95">
        <v>66.302654650228092</v>
      </c>
      <c r="G34" s="95">
        <v>71.13459717704005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38E0-F1E6-49F3-BFD1-0AEA1625196A}">
  <dimension ref="B6:G22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8" sqref="E18"/>
    </sheetView>
  </sheetViews>
  <sheetFormatPr defaultRowHeight="14.4" x14ac:dyDescent="0.3"/>
  <cols>
    <col min="1" max="1" width="2.33203125" customWidth="1"/>
    <col min="2" max="2" width="40.77734375" customWidth="1"/>
    <col min="3" max="7" width="13.77734375" customWidth="1"/>
  </cols>
  <sheetData>
    <row r="6" spans="2:7" ht="15.6" x14ac:dyDescent="0.3">
      <c r="B6" s="4" t="s">
        <v>148</v>
      </c>
      <c r="C6" s="5"/>
      <c r="D6" s="5"/>
      <c r="E6" s="5"/>
      <c r="F6" s="5"/>
      <c r="G6" s="5"/>
    </row>
    <row r="8" spans="2:7" x14ac:dyDescent="0.3">
      <c r="B8" s="6" t="s">
        <v>40</v>
      </c>
      <c r="C8" s="24">
        <v>2026</v>
      </c>
      <c r="D8" s="24">
        <f>C8+1</f>
        <v>2027</v>
      </c>
      <c r="E8" s="24">
        <f t="shared" ref="E8:G8" si="0">D8+1</f>
        <v>2028</v>
      </c>
      <c r="F8" s="24">
        <f t="shared" si="0"/>
        <v>2029</v>
      </c>
      <c r="G8" s="24">
        <f t="shared" si="0"/>
        <v>2030</v>
      </c>
    </row>
    <row r="9" spans="2:7" x14ac:dyDescent="0.3">
      <c r="B9" t="s">
        <v>128</v>
      </c>
      <c r="C9" s="8">
        <f>'FORECASTED CASH FLOW STATEMENT'!E24</f>
        <v>11796411.710880689</v>
      </c>
      <c r="D9" s="8">
        <f>'FORECASTED CASH FLOW STATEMENT'!F24</f>
        <v>13209208.444681533</v>
      </c>
      <c r="E9" s="8">
        <f>'FORECASTED CASH FLOW STATEMENT'!G24</f>
        <v>15348736.539750934</v>
      </c>
      <c r="F9" s="8">
        <f>'FORECASTED CASH FLOW STATEMENT'!H24</f>
        <v>17824212.962954272</v>
      </c>
      <c r="G9" s="8">
        <f>'FORECASTED CASH FLOW STATEMENT'!I24</f>
        <v>20548273.075666048</v>
      </c>
    </row>
    <row r="10" spans="2:7" x14ac:dyDescent="0.3">
      <c r="B10" t="s">
        <v>150</v>
      </c>
      <c r="C10">
        <v>1</v>
      </c>
      <c r="D10">
        <v>2</v>
      </c>
      <c r="E10">
        <v>3</v>
      </c>
      <c r="F10">
        <v>4</v>
      </c>
      <c r="G10">
        <v>5</v>
      </c>
    </row>
    <row r="11" spans="2:7" x14ac:dyDescent="0.3">
      <c r="B11" t="s">
        <v>151</v>
      </c>
      <c r="C11" s="90">
        <f>1/(1+WACC!$C$25)^DCF!C10</f>
        <v>0.91652315476370627</v>
      </c>
      <c r="D11" s="90">
        <f>1/(1+WACC!$C$25)^DCF!D10</f>
        <v>0.84001469321801669</v>
      </c>
      <c r="E11" s="90">
        <f>1/(1+WACC!$C$25)^DCF!E10</f>
        <v>0.76989291667604365</v>
      </c>
      <c r="F11" s="90">
        <f>1/(1+WACC!$C$25)^DCF!F10</f>
        <v>0.70562468482215868</v>
      </c>
      <c r="G11" s="90">
        <f>1/(1+WACC!$C$25)^DCF!G10</f>
        <v>0.64672136221235077</v>
      </c>
    </row>
    <row r="12" spans="2:7" x14ac:dyDescent="0.3">
      <c r="B12" s="70" t="s">
        <v>149</v>
      </c>
      <c r="C12" s="51">
        <f>C9*C11</f>
        <v>10811684.476147899</v>
      </c>
      <c r="D12" s="51">
        <f t="shared" ref="D12:G12" si="1">D9*D11</f>
        <v>11095929.179311993</v>
      </c>
      <c r="E12" s="51">
        <f t="shared" si="1"/>
        <v>11816883.541881012</v>
      </c>
      <c r="F12" s="51">
        <f t="shared" si="1"/>
        <v>12577204.654187642</v>
      </c>
      <c r="G12" s="51">
        <f t="shared" si="1"/>
        <v>13289007.154606117</v>
      </c>
    </row>
    <row r="14" spans="2:7" x14ac:dyDescent="0.3">
      <c r="B14" t="s">
        <v>153</v>
      </c>
      <c r="C14" s="92">
        <f>'FORECASTED CASH FLOW STATEMENT'!I24*(1+WACC!C26)/(WACC!C25-WACC!C26)</f>
        <v>379234972.64916515</v>
      </c>
    </row>
    <row r="15" spans="2:7" x14ac:dyDescent="0.3">
      <c r="B15" s="70" t="s">
        <v>154</v>
      </c>
      <c r="C15" s="104">
        <f>C14*G11</f>
        <v>245259358.11023167</v>
      </c>
    </row>
    <row r="16" spans="2:7" x14ac:dyDescent="0.3">
      <c r="B16" t="s">
        <v>155</v>
      </c>
      <c r="C16" s="93">
        <f>SUM(C12:G12)</f>
        <v>59590709.006134667</v>
      </c>
    </row>
    <row r="17" spans="2:3" x14ac:dyDescent="0.3">
      <c r="B17" s="70" t="s">
        <v>156</v>
      </c>
      <c r="C17" s="104">
        <f>C16+C15</f>
        <v>304850067.11636633</v>
      </c>
    </row>
    <row r="18" spans="2:3" x14ac:dyDescent="0.3">
      <c r="B18" t="s">
        <v>157</v>
      </c>
      <c r="C18" s="93">
        <f>'FORECASTED BALANCE SHEET'!F11</f>
        <v>19244284.352038004</v>
      </c>
    </row>
    <row r="19" spans="2:3" x14ac:dyDescent="0.3">
      <c r="B19" t="s">
        <v>97</v>
      </c>
      <c r="C19" s="93">
        <f>WACC!C21</f>
        <v>13462836</v>
      </c>
    </row>
    <row r="20" spans="2:3" x14ac:dyDescent="0.3">
      <c r="B20" s="70" t="s">
        <v>158</v>
      </c>
      <c r="C20" s="104">
        <f>C17+C18-C19</f>
        <v>310631515.46840435</v>
      </c>
    </row>
    <row r="21" spans="2:3" x14ac:dyDescent="0.3">
      <c r="B21" t="s">
        <v>159</v>
      </c>
      <c r="C21" s="94">
        <v>4220000</v>
      </c>
    </row>
    <row r="22" spans="2:3" ht="15" thickBot="1" x14ac:dyDescent="0.35">
      <c r="B22" s="69" t="s">
        <v>160</v>
      </c>
      <c r="C22" s="105">
        <f>C20/C21</f>
        <v>73.609363855072118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7E29-0CB1-446C-8B77-DCBCCA22164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P&amp;L INPUT</vt:lpstr>
      <vt:lpstr>BALANCE SHEET INPUT</vt:lpstr>
      <vt:lpstr>REVENUE BUILD BY REGION</vt:lpstr>
      <vt:lpstr>OPERATING ASSUMPTIONS &amp; WORKING</vt:lpstr>
      <vt:lpstr>SCHEDULES</vt:lpstr>
      <vt:lpstr>FORECASTED P&amp;L </vt:lpstr>
      <vt:lpstr>FORECASTED BALANCE SHEET</vt:lpstr>
      <vt:lpstr>FORECASTED CASH FLOW STATEMENT</vt:lpstr>
      <vt:lpstr>WACC</vt:lpstr>
      <vt:lpstr>DCF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</dc:creator>
  <cp:lastModifiedBy>A S</cp:lastModifiedBy>
  <dcterms:created xsi:type="dcterms:W3CDTF">2026-03-09T11:02:45Z</dcterms:created>
  <dcterms:modified xsi:type="dcterms:W3CDTF">2026-03-26T18:25:40Z</dcterms:modified>
</cp:coreProperties>
</file>